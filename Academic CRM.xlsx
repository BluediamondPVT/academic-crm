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 2025" sheetId="1" r:id="rId5"/>
    <sheet state="visible" name="Jan 2026" sheetId="2" r:id="rId6"/>
    <sheet state="visible" name="JULY 2026 " sheetId="3" r:id="rId7"/>
  </sheets>
  <definedNames/>
  <calcPr/>
</workbook>
</file>

<file path=xl/sharedStrings.xml><?xml version="1.0" encoding="utf-8"?>
<sst xmlns="http://schemas.openxmlformats.org/spreadsheetml/2006/main" count="480" uniqueCount="208">
  <si>
    <t xml:space="preserve">                                                                                          </t>
  </si>
  <si>
    <t>DATE</t>
  </si>
  <si>
    <t xml:space="preserve">LMS ID </t>
  </si>
  <si>
    <t xml:space="preserve">LMS Password </t>
  </si>
  <si>
    <t>NAME</t>
  </si>
  <si>
    <t>CONTACT NO</t>
  </si>
  <si>
    <t>COURSE</t>
  </si>
  <si>
    <t>TOTAL AMT</t>
  </si>
  <si>
    <t xml:space="preserve">AMOUNT paid </t>
  </si>
  <si>
    <t>BALANCE AMT</t>
  </si>
  <si>
    <t>MODE OF PAYMENT</t>
  </si>
  <si>
    <t xml:space="preserve">UNIVERSITY </t>
  </si>
  <si>
    <t xml:space="preserve">COUNSELLOR </t>
  </si>
  <si>
    <t>2nd year Fees</t>
  </si>
  <si>
    <t xml:space="preserve">Date </t>
  </si>
  <si>
    <t xml:space="preserve">Admission </t>
  </si>
  <si>
    <t xml:space="preserve">Paid to University </t>
  </si>
  <si>
    <t xml:space="preserve">ASIR SHAIKH </t>
  </si>
  <si>
    <t>BCA</t>
  </si>
  <si>
    <t>GPAY TO CLASSES</t>
  </si>
  <si>
    <t>MANGALAYATAN</t>
  </si>
  <si>
    <t>NAZIYA</t>
  </si>
  <si>
    <t xml:space="preserve">Paid </t>
  </si>
  <si>
    <t>Paid need to Proceed for 2nd yr</t>
  </si>
  <si>
    <t>khan  mohd salik</t>
  </si>
  <si>
    <t xml:space="preserve">FARDEEN </t>
  </si>
  <si>
    <t xml:space="preserve">28-09-2026 = 15000
</t>
  </si>
  <si>
    <t xml:space="preserve">SAYYED ALIYA ZEHRA ALI ASGAR
2ND YEAR FEES PAID ON 19-09-2026 </t>
  </si>
  <si>
    <t>24000
14000</t>
  </si>
  <si>
    <t>CASH TO SIR</t>
  </si>
  <si>
    <t xml:space="preserve">19-09-2026 = 14000
</t>
  </si>
  <si>
    <t>SHAIKH USMAN
2ND YEAR FEES PAID ON 21-09-2026</t>
  </si>
  <si>
    <t>24000
15000</t>
  </si>
  <si>
    <t xml:space="preserve">GPAY TO INSTITUTE
CASH </t>
  </si>
  <si>
    <t>21-09-2025 = 15000</t>
  </si>
  <si>
    <t>on hold for 2nd yr</t>
  </si>
  <si>
    <t>NARMEEN SHAIKH</t>
  </si>
  <si>
    <t>BBA</t>
  </si>
  <si>
    <t>22000
2ND YEAR FEES PAID 22000</t>
  </si>
  <si>
    <t xml:space="preserve">CASH TO SIR
CASH TO SIR </t>
  </si>
  <si>
    <t>MANGALAYATAN
MANGALAYATAN</t>
  </si>
  <si>
    <t xml:space="preserve">NAZIYA
NAZIYA </t>
  </si>
  <si>
    <t xml:space="preserve">                 ABDUL REHMAN </t>
  </si>
  <si>
    <t xml:space="preserve">Done </t>
  </si>
  <si>
    <t xml:space="preserve"> </t>
  </si>
  <si>
    <t xml:space="preserve">Unique ID </t>
  </si>
  <si>
    <t>Student Name</t>
  </si>
  <si>
    <t xml:space="preserve">CONTACT NO </t>
  </si>
  <si>
    <t>E-MAIL ID</t>
  </si>
  <si>
    <t>Course</t>
  </si>
  <si>
    <t>Total Fees</t>
  </si>
  <si>
    <t>Paid Fees</t>
  </si>
  <si>
    <t>Rest Fees</t>
  </si>
  <si>
    <t>University</t>
  </si>
  <si>
    <t>3rd year Fees</t>
  </si>
  <si>
    <t>Sem 1</t>
  </si>
  <si>
    <t xml:space="preserve">Result </t>
  </si>
  <si>
    <t>March End</t>
  </si>
  <si>
    <t>NABILA SARNAIK</t>
  </si>
  <si>
    <t>MBA</t>
  </si>
  <si>
    <t>Sem 2</t>
  </si>
  <si>
    <t>Sep 2nd Week</t>
  </si>
  <si>
    <t xml:space="preserve">INSURANCE </t>
  </si>
  <si>
    <t xml:space="preserve">Agent </t>
  </si>
  <si>
    <t xml:space="preserve">Maruti Dealer </t>
  </si>
  <si>
    <t>NAWAZ NAUSHAD SAYED</t>
  </si>
  <si>
    <t xml:space="preserve">TATA AIG </t>
  </si>
  <si>
    <t>MOHD GUFRAN IRFAN QURESHI</t>
  </si>
  <si>
    <t>MCA</t>
  </si>
  <si>
    <t>SHAFIYA ALI IMRAN SHAIKH</t>
  </si>
  <si>
    <t>SBI General</t>
  </si>
  <si>
    <t xml:space="preserve">DIGIT </t>
  </si>
  <si>
    <t>NAZIR HAIDER ALI SHAIKH</t>
  </si>
  <si>
    <t xml:space="preserve">Indusind </t>
  </si>
  <si>
    <t xml:space="preserve">NA </t>
  </si>
  <si>
    <t>MBA(FINANCE)</t>
  </si>
  <si>
    <t>MOHD NADEEM CHOUDHARY</t>
  </si>
  <si>
    <t>91295 45034</t>
  </si>
  <si>
    <t>One Year Fees</t>
  </si>
  <si>
    <t xml:space="preserve">Annual Fees </t>
  </si>
  <si>
    <t>SEM Fees</t>
  </si>
  <si>
    <t xml:space="preserve"> Counsellor</t>
  </si>
  <si>
    <t>LOAN</t>
  </si>
  <si>
    <t>TUTION</t>
  </si>
  <si>
    <t>TUTION FEE</t>
  </si>
  <si>
    <t>SOURCE</t>
  </si>
  <si>
    <t>Date OF Lead Punch</t>
  </si>
  <si>
    <t xml:space="preserve">Admission Staus </t>
  </si>
  <si>
    <t xml:space="preserve">Registration </t>
  </si>
  <si>
    <t>Pending to pay to University</t>
  </si>
  <si>
    <t xml:space="preserve">Pay to University 
Date </t>
  </si>
  <si>
    <t xml:space="preserve">LMS Training </t>
  </si>
  <si>
    <t>Mohammad Ahmad Imtiyaz</t>
  </si>
  <si>
    <t>DY Patil</t>
  </si>
  <si>
    <t>NAZIA</t>
  </si>
  <si>
    <t xml:space="preserve">REFERENCE </t>
  </si>
  <si>
    <t xml:space="preserve">DONE </t>
  </si>
  <si>
    <t xml:space="preserve">Admit </t>
  </si>
  <si>
    <t>Yasir Zakir</t>
  </si>
  <si>
    <t>Amity</t>
  </si>
  <si>
    <t xml:space="preserve">SAMEER SIR </t>
  </si>
  <si>
    <t>Pending</t>
  </si>
  <si>
    <t>Done</t>
  </si>
  <si>
    <t>Rehan Samir Khan</t>
  </si>
  <si>
    <t>Manglytan</t>
  </si>
  <si>
    <t xml:space="preserve">META </t>
  </si>
  <si>
    <t xml:space="preserve">Abdullah Hannan </t>
  </si>
  <si>
    <r>
      <rPr>
        <rFont val="Calibri"/>
        <b/>
        <color rgb="FF000000"/>
        <sz val="11.0"/>
        <u/>
      </rPr>
      <t>B.Com</t>
    </r>
    <r>
      <rPr>
        <rFont val="Calibri"/>
        <b/>
        <color rgb="FF1F1F1F"/>
        <sz val="11.0"/>
      </rPr>
      <t xml:space="preserve"> (DL)</t>
    </r>
  </si>
  <si>
    <t xml:space="preserve">DIRECT CALL </t>
  </si>
  <si>
    <t>Aasifa Siddiqui</t>
  </si>
  <si>
    <t xml:space="preserve">BY LOAN </t>
  </si>
  <si>
    <t xml:space="preserve">WALKIN </t>
  </si>
  <si>
    <t>NO Pay</t>
  </si>
  <si>
    <t xml:space="preserve">Saba Qureshi </t>
  </si>
  <si>
    <t>qsaba0433@gmail.com</t>
  </si>
  <si>
    <t>B.Com (DL)</t>
  </si>
  <si>
    <t xml:space="preserve">sameer sir </t>
  </si>
  <si>
    <t>Amaan Abid Ali</t>
  </si>
  <si>
    <t xml:space="preserve">meta </t>
  </si>
  <si>
    <t>Khan Ayesha</t>
  </si>
  <si>
    <t>nk6724833@gmail.com</t>
  </si>
  <si>
    <t>Ansari Misbah</t>
  </si>
  <si>
    <t>ZARA</t>
  </si>
  <si>
    <t>YES</t>
  </si>
  <si>
    <t xml:space="preserve"> META</t>
  </si>
  <si>
    <t>Khan Yunus</t>
  </si>
  <si>
    <t>BOOTH</t>
  </si>
  <si>
    <t>Zahid Ali</t>
  </si>
  <si>
    <t>WALKIN</t>
  </si>
  <si>
    <t xml:space="preserve">MD Shadab </t>
  </si>
  <si>
    <t>META</t>
  </si>
  <si>
    <t>KHAN SABA Nafees</t>
  </si>
  <si>
    <t>91 63885 69450</t>
  </si>
  <si>
    <t xml:space="preserve">BA  Online </t>
  </si>
  <si>
    <t>MUBASSHIRA CHOUDHARY</t>
  </si>
  <si>
    <t>mubassira0022@gmail.com</t>
  </si>
  <si>
    <t xml:space="preserve">BCA </t>
  </si>
  <si>
    <t>Admit</t>
  </si>
  <si>
    <t>Raziya inamder</t>
  </si>
  <si>
    <t xml:space="preserve">inamdarraziyabegum@gmail.com </t>
  </si>
  <si>
    <t xml:space="preserve">BBA IN LOGISTICS </t>
  </si>
  <si>
    <t>PARVATI THAKUR</t>
  </si>
  <si>
    <t xml:space="preserve">IQRA ANSARI </t>
  </si>
  <si>
    <t>iqraavakil@gmail.com</t>
  </si>
  <si>
    <t xml:space="preserve">BBA MARKETING </t>
  </si>
  <si>
    <t>SHK UMAMA</t>
  </si>
  <si>
    <t xml:space="preserve">SHK Mohd ZAID </t>
  </si>
  <si>
    <t>10 Aug 26 = 5000
22 Sep 26 = 5000</t>
  </si>
  <si>
    <t xml:space="preserve">Sarfaraz Kadar Baig </t>
  </si>
  <si>
    <t>NIDA</t>
  </si>
  <si>
    <t xml:space="preserve">Shaikh Taif Jameel Ahmad </t>
  </si>
  <si>
    <t>taif.starks@gmail.com</t>
  </si>
  <si>
    <t>NAZIA, Waseem Ahmad</t>
  </si>
  <si>
    <t>18 sept 2026</t>
  </si>
  <si>
    <t xml:space="preserve">FAISAL Shaikh </t>
  </si>
  <si>
    <r>
      <rPr>
        <rFont val="Arial"/>
      </rPr>
      <t>MOHD RAIYYAN ABDUL RAZIQ SHAIKH</t>
    </r>
  </si>
  <si>
    <t>shaikhraiyyan.7788@gmail.com</t>
  </si>
  <si>
    <t xml:space="preserve">TELEPHONIC </t>
  </si>
  <si>
    <t>16 sept 2026</t>
  </si>
  <si>
    <t xml:space="preserve">REHAN SARFARAZ Khan </t>
  </si>
  <si>
    <t xml:space="preserve">Abdullah ansari </t>
  </si>
  <si>
    <t>86045 56548</t>
  </si>
  <si>
    <t>13 july 2026 = 10000
23 May 2026 = 5000
23 Sep 2026 = 9000</t>
  </si>
  <si>
    <t>Waseem Sir</t>
  </si>
  <si>
    <t>Reg no.</t>
  </si>
  <si>
    <t>Mariya hamidullha choudhry</t>
  </si>
  <si>
    <t>diploma arts humanities</t>
  </si>
  <si>
    <t>-</t>
  </si>
  <si>
    <t>khan inzamam abrar</t>
  </si>
  <si>
    <t>Sayyed Arib Abdul Shahid</t>
  </si>
  <si>
    <t xml:space="preserve">SAMREEN SAEED SARANG </t>
  </si>
  <si>
    <t>sarangsamreen786@gmail.com</t>
  </si>
  <si>
    <t>BA  (DL)</t>
  </si>
  <si>
    <t xml:space="preserve">ONLINE LEAD </t>
  </si>
  <si>
    <t xml:space="preserve">KHADIJA QURESHI </t>
  </si>
  <si>
    <t>qureshikhadija742@gmail.com</t>
  </si>
  <si>
    <t>REHMAT ZURGAM KAZI</t>
  </si>
  <si>
    <t>kazirehmat3@gmail.com</t>
  </si>
  <si>
    <r>
      <rPr>
        <rFont val="Arial"/>
        <color theme="1"/>
      </rPr>
      <t xml:space="preserve">B COM </t>
    </r>
    <r>
      <rPr>
        <rFont val="Arial"/>
        <b/>
        <color theme="1"/>
      </rPr>
      <t>(DL)</t>
    </r>
  </si>
  <si>
    <t xml:space="preserve">EXISITNG STUDENT </t>
  </si>
  <si>
    <t xml:space="preserve">AQSA PARVEZ GULBAR </t>
  </si>
  <si>
    <t>aqsapgulbar@gmail.com</t>
  </si>
  <si>
    <t xml:space="preserve">BA Online </t>
  </si>
  <si>
    <t>Afzal Khan</t>
  </si>
  <si>
    <t>mafzal196@gmail.com</t>
  </si>
  <si>
    <t>BA Online</t>
  </si>
  <si>
    <t>Waseem Ahmad</t>
  </si>
  <si>
    <t xml:space="preserve">Wasim </t>
  </si>
  <si>
    <t xml:space="preserve">ZARIN UMER ANSARI </t>
  </si>
  <si>
    <t>ansarizarin386@gmail.com</t>
  </si>
  <si>
    <t xml:space="preserve">BBA </t>
  </si>
  <si>
    <t>29-09-2026 = 4000</t>
  </si>
  <si>
    <t xml:space="preserve">SHAIKH AFFAN HUSSAIN </t>
  </si>
  <si>
    <t xml:space="preserve">Roshni Kadar juneja </t>
  </si>
  <si>
    <t>rosejuneja00@gmail.com</t>
  </si>
  <si>
    <t>24-09-2026 = 3000
29-09-2026 = 7000</t>
  </si>
  <si>
    <t>Mubshira Mirza</t>
  </si>
  <si>
    <t>9703786995
8879361391</t>
  </si>
  <si>
    <t>mubashiramirza798@gmail. com</t>
  </si>
  <si>
    <r>
      <rPr>
        <rFont val="Arial"/>
        <color rgb="FF1155CC"/>
        <u/>
      </rPr>
      <t>B.Com</t>
    </r>
    <r>
      <rPr>
        <rFont val="Arial"/>
        <color rgb="FF000000"/>
      </rPr>
      <t xml:space="preserve"> (DL)</t>
    </r>
  </si>
  <si>
    <t>Samir Haider</t>
  </si>
  <si>
    <t xml:space="preserve">Sana Mohammed afzal qureshi </t>
  </si>
  <si>
    <t>MBA ( Marketing management )</t>
  </si>
  <si>
    <t>ZARA, Waseem Ahmad</t>
  </si>
  <si>
    <t xml:space="preserve">online </t>
  </si>
  <si>
    <t xml:space="preserve">Shikha Agarwal </t>
  </si>
  <si>
    <t>GLA</t>
  </si>
  <si>
    <t>SHAIKH MOHAMMED EHTESHAM ABDUL SALAM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</si>
</sst>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dd-mm-yy"/>
    <numFmt numFmtId="165" formatCode="dd-mm-yyyy"/>
    <numFmt numFmtId="166" formatCode="dd/MM/yyyy"/>
    <numFmt numFmtId="167" formatCode="d/m/yyyy"/>
    <numFmt numFmtId="168" formatCode="mmmm d"/>
    <numFmt numFmtId="169" formatCode="mmm-d"/>
    <numFmt numFmtId="170" formatCode="mmm d"/>
    <numFmt numFmtId="171" formatCode="dd mmmm"/>
    <numFmt numFmtId="172" formatCode="d mmmm"/>
    <numFmt numFmtId="173" formatCode="d-m-yy"/>
    <numFmt numFmtId="174" formatCode="d mmm yyyy"/>
    <numFmt numFmtId="175" formatCode="d mmmm yyyy"/>
    <numFmt numFmtId="176" formatCode="dmmmm"/>
    <numFmt numFmtId="177" formatCode="dd mmmm yyyy"/>
  </numFmts>
  <fonts count="19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b/>
      <color theme="1"/>
      <name val="Arial"/>
    </font>
    <font>
      <sz val="12.0"/>
      <color theme="1"/>
      <name val="Calibri"/>
    </font>
    <font>
      <color rgb="FF0F1A4A"/>
      <name val="Calibri"/>
    </font>
    <font>
      <color theme="1"/>
      <name val="Calibri"/>
    </font>
    <font>
      <sz val="11.0"/>
      <color theme="1"/>
      <name val="Calibri"/>
    </font>
    <font>
      <color theme="1"/>
      <name val="Poppins"/>
    </font>
    <font>
      <b/>
      <sz val="11.0"/>
      <color theme="1"/>
      <name val="Calibri"/>
    </font>
    <font>
      <sz val="9.0"/>
      <color rgb="FF0F1A4A"/>
      <name val="Poppins"/>
    </font>
    <font>
      <u/>
      <sz val="11.0"/>
      <color rgb="FF0000FF"/>
      <name val="Calibri"/>
    </font>
    <font>
      <b/>
      <u/>
      <sz val="11.0"/>
      <color rgb="FF0000FF"/>
      <name val="Calibri"/>
    </font>
    <font>
      <color theme="1"/>
      <name val="Times New Roman"/>
    </font>
    <font>
      <i/>
      <sz val="11.0"/>
      <color theme="1"/>
      <name val="Calibri"/>
    </font>
    <font>
      <sz val="11.0"/>
      <color theme="1"/>
      <name val="Nunito"/>
    </font>
    <font>
      <u/>
      <color rgb="FF0000FF"/>
      <name val="Arial"/>
    </font>
    <font>
      <color theme="1"/>
      <name val="Nunito"/>
    </font>
    <font>
      <color rgb="FF0F1A4A"/>
      <name val="Poppins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6F8F9"/>
        <bgColor rgb="FFF6F8F9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  <fill>
      <patternFill patternType="solid">
        <fgColor rgb="FFF3F8FC"/>
        <bgColor rgb="FFF3F8F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uble">
        <color rgb="FF000000"/>
      </right>
      <top style="dotted">
        <color rgb="FF000000"/>
      </top>
      <bottom style="dotted">
        <color rgb="FF000000"/>
      </bottom>
    </border>
    <border>
      <right style="double">
        <color rgb="FF000000"/>
      </right>
    </border>
    <border>
      <right style="dotted">
        <color rgb="FF000000"/>
      </right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F1A4A"/>
      </left>
      <right style="thin">
        <color rgb="FF0F1A4A"/>
      </right>
      <top style="thin">
        <color rgb="FF0F1A4A"/>
      </top>
      <bottom style="thin">
        <color rgb="FF0F1A4A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164" xfId="0" applyAlignment="1" applyBorder="1" applyFill="1" applyFont="1" applyNumberFormat="1">
      <alignment horizontal="center" vertical="bottom"/>
    </xf>
    <xf borderId="2" fillId="2" fontId="2" numFmtId="0" xfId="0" applyAlignment="1" applyBorder="1" applyFill="1" applyFont="1">
      <alignment vertical="bottom"/>
    </xf>
    <xf borderId="3" fillId="2" fontId="3" numFmtId="0" xfId="0" applyAlignment="1" applyBorder="1" applyFill="1" applyFont="1">
      <alignment vertical="bottom"/>
    </xf>
    <xf borderId="4" fillId="2" fontId="3" numFmtId="0" xfId="0" applyAlignment="1" applyBorder="1" applyFill="1" applyFont="1">
      <alignment vertical="bottom"/>
    </xf>
    <xf borderId="4" fillId="3" fontId="3" numFmtId="0" xfId="0" applyAlignment="1" applyBorder="1" applyFill="1" applyFont="1">
      <alignment vertical="bottom"/>
    </xf>
    <xf borderId="5" fillId="3" fontId="3" numFmtId="0" xfId="0" applyAlignment="1" applyBorder="1" applyFill="1" applyFont="1">
      <alignment vertical="bottom"/>
    </xf>
    <xf borderId="0" fillId="4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1" fillId="5" fontId="4" numFmtId="0" xfId="0" applyAlignment="1" applyBorder="1" applyFill="1" applyFont="1">
      <alignment horizontal="center" vertical="bottom"/>
    </xf>
    <xf borderId="1" fillId="5" fontId="4" numFmtId="164" xfId="0" applyAlignment="1" applyBorder="1" applyFill="1" applyFont="1" applyNumberFormat="1">
      <alignment horizontal="center" vertical="bottom"/>
    </xf>
    <xf borderId="1" fillId="4" fontId="5" numFmtId="0" xfId="0" applyAlignment="1" applyBorder="1" applyFill="1" applyFont="1">
      <alignment horizontal="center" vertical="bottom"/>
    </xf>
    <xf borderId="1" fillId="5" fontId="2" numFmtId="0" xfId="0" applyAlignment="1" applyBorder="1" applyFill="1" applyFont="1">
      <alignment vertical="bottom"/>
    </xf>
    <xf borderId="6" fillId="4" fontId="2" numFmtId="0" xfId="0" applyAlignment="1" applyBorder="1" applyFill="1" applyFont="1">
      <alignment horizontal="right" vertical="bottom"/>
    </xf>
    <xf borderId="0" fillId="0" fontId="2" numFmtId="0" xfId="0" applyAlignment="1" applyFont="1">
      <alignment horizontal="right" vertical="bottom"/>
    </xf>
    <xf borderId="7" fillId="0" fontId="2" numFmtId="0" xfId="0" applyAlignment="1" applyBorder="1" applyFont="1">
      <alignment vertical="bottom"/>
    </xf>
    <xf borderId="0" fillId="3" fontId="2" numFmtId="0" xfId="0" applyAlignment="1" applyFill="1" applyFont="1">
      <alignment horizontal="right" vertical="bottom"/>
    </xf>
    <xf borderId="6" fillId="3" fontId="2" numFmtId="0" xfId="0" applyAlignment="1" applyBorder="1" applyFill="1" applyFont="1">
      <alignment vertical="bottom"/>
    </xf>
    <xf borderId="0" fillId="4" fontId="3" numFmtId="0" xfId="0" applyAlignment="1" applyFill="1" applyFont="1">
      <alignment vertical="bottom"/>
    </xf>
    <xf borderId="1" fillId="0" fontId="4" numFmtId="0" xfId="0" applyAlignment="1" applyBorder="1" applyFont="1">
      <alignment horizontal="center" vertical="bottom"/>
    </xf>
    <xf borderId="1" fillId="0" fontId="4" numFmtId="164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vertical="bottom"/>
    </xf>
    <xf borderId="1" fillId="4" fontId="4" numFmtId="0" xfId="0" applyAlignment="1" applyBorder="1" applyFill="1" applyFont="1">
      <alignment horizontal="center" vertical="bottom"/>
    </xf>
    <xf borderId="0" fillId="4" fontId="2" numFmtId="0" xfId="0" applyAlignment="1" applyFill="1" applyFont="1">
      <alignment horizontal="right" vertical="bottom"/>
    </xf>
    <xf borderId="1" fillId="5" fontId="5" numFmtId="0" xfId="0" applyAlignment="1" applyBorder="1" applyFill="1" applyFont="1">
      <alignment horizontal="center" vertical="bottom"/>
    </xf>
    <xf borderId="0" fillId="0" fontId="6" numFmtId="0" xfId="0" applyAlignment="1" applyFont="1">
      <alignment vertical="bottom"/>
    </xf>
    <xf borderId="1" fillId="0" fontId="4" numFmtId="165" xfId="0" applyAlignment="1" applyBorder="1" applyFont="1" applyNumberFormat="1">
      <alignment horizontal="center" vertical="bottom"/>
    </xf>
    <xf borderId="1" fillId="4" fontId="6" numFmtId="0" xfId="0" applyAlignment="1" applyBorder="1" applyFill="1" applyFont="1">
      <alignment horizontal="center" vertical="bottom"/>
    </xf>
    <xf borderId="7" fillId="4" fontId="2" numFmtId="0" xfId="0" applyAlignment="1" applyBorder="1" applyFill="1" applyFont="1">
      <alignment vertical="bottom"/>
    </xf>
    <xf borderId="1" fillId="6" fontId="4" numFmtId="166" xfId="0" applyAlignment="1" applyBorder="1" applyFill="1" applyFont="1" applyNumberFormat="1">
      <alignment horizontal="center" shrinkToFit="0" vertical="bottom" wrapText="0"/>
    </xf>
    <xf borderId="1" fillId="4" fontId="6" numFmtId="0" xfId="0" applyAlignment="1" applyBorder="1" applyFill="1" applyFont="1">
      <alignment horizontal="center" shrinkToFit="0" vertical="bottom" wrapText="0"/>
    </xf>
    <xf borderId="1" fillId="4" fontId="4" numFmtId="0" xfId="0" applyAlignment="1" applyBorder="1" applyFill="1" applyFont="1">
      <alignment horizontal="center" shrinkToFit="0" vertical="bottom" wrapText="0"/>
    </xf>
    <xf borderId="1" fillId="4" fontId="4" numFmtId="167" xfId="0" applyAlignment="1" applyBorder="1" applyFill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4" fontId="2" numFmtId="0" xfId="0" applyAlignment="1" applyBorder="1" applyFill="1" applyFont="1">
      <alignment vertical="bottom"/>
    </xf>
    <xf borderId="1" fillId="2" fontId="7" numFmtId="0" xfId="0" applyAlignment="1" applyBorder="1" applyFill="1" applyFont="1">
      <alignment vertical="bottom"/>
    </xf>
    <xf borderId="0" fillId="4" fontId="3" numFmtId="168" xfId="0" applyAlignment="1" applyFill="1" applyFont="1" applyNumberFormat="1">
      <alignment horizontal="right" vertical="bottom"/>
    </xf>
    <xf borderId="1" fillId="4" fontId="8" numFmtId="0" xfId="0" applyAlignment="1" applyBorder="1" applyFill="1" applyFont="1">
      <alignment horizontal="center" vertical="bottom"/>
    </xf>
    <xf borderId="0" fillId="4" fontId="3" numFmtId="169" xfId="0" applyAlignment="1" applyFill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4" fontId="3" numFmtId="170" xfId="0" applyAlignment="1" applyFill="1" applyFont="1" applyNumberFormat="1">
      <alignment horizontal="right" vertical="bottom"/>
    </xf>
    <xf borderId="0" fillId="3" fontId="2" numFmtId="0" xfId="0" applyAlignment="1" applyFill="1" applyFont="1">
      <alignment vertical="bottom"/>
    </xf>
    <xf borderId="8" fillId="0" fontId="3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8" fillId="0" fontId="2" numFmtId="0" xfId="0" applyAlignment="1" applyBorder="1" applyFont="1">
      <alignment horizontal="right" vertical="bottom"/>
    </xf>
    <xf borderId="1" fillId="0" fontId="8" numFmtId="0" xfId="0" applyAlignment="1" applyBorder="1" applyFont="1">
      <alignment horizontal="center" vertical="bottom"/>
    </xf>
    <xf borderId="8" fillId="0" fontId="2" numFmtId="0" xfId="0" applyAlignment="1" applyBorder="1" applyFont="1">
      <alignment horizontal="center" vertical="bottom"/>
    </xf>
    <xf borderId="1" fillId="4" fontId="8" numFmtId="0" xfId="0" applyAlignment="1" applyBorder="1" applyFill="1" applyFont="1">
      <alignment horizontal="center" vertical="bottom"/>
    </xf>
    <xf borderId="1" fillId="4" fontId="2" numFmtId="0" xfId="0" applyAlignment="1" applyBorder="1" applyFill="1" applyFont="1">
      <alignment vertical="bottom"/>
    </xf>
    <xf borderId="1" fillId="6" fontId="4" numFmtId="0" xfId="0" applyAlignment="1" applyBorder="1" applyFill="1" applyFont="1">
      <alignment horizontal="center" shrinkToFit="0" vertical="bottom" wrapText="0"/>
    </xf>
    <xf borderId="1" fillId="4" fontId="4" numFmtId="0" xfId="0" applyAlignment="1" applyBorder="1" applyFill="1" applyFont="1">
      <alignment horizontal="center" shrinkToFit="0" vertical="bottom" wrapText="0"/>
    </xf>
    <xf borderId="1" fillId="4" fontId="2" numFmtId="0" xfId="0" applyAlignment="1" applyBorder="1" applyFill="1" applyFont="1">
      <alignment horizontal="right" vertical="bottom"/>
    </xf>
    <xf borderId="1" fillId="2" fontId="9" numFmtId="0" xfId="0" applyAlignment="1" applyBorder="1" applyFill="1" applyFont="1">
      <alignment vertical="bottom"/>
    </xf>
    <xf borderId="1" fillId="7" fontId="9" numFmtId="0" xfId="0" applyAlignment="1" applyBorder="1" applyFill="1" applyFont="1">
      <alignment vertical="bottom"/>
    </xf>
    <xf borderId="1" fillId="8" fontId="9" numFmtId="0" xfId="0" applyAlignment="1" applyBorder="1" applyFill="1" applyFont="1">
      <alignment vertical="bottom"/>
    </xf>
    <xf borderId="1" fillId="2" fontId="9" numFmtId="0" xfId="0" applyAlignment="1" applyBorder="1" applyFill="1" applyFont="1">
      <alignment horizontal="center" vertical="bottom"/>
    </xf>
    <xf borderId="1" fillId="2" fontId="3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shrinkToFit="0" vertical="bottom" wrapText="1"/>
    </xf>
    <xf borderId="1" fillId="2" fontId="2" numFmtId="0" xfId="0" applyAlignment="1" applyBorder="1" applyFill="1" applyFont="1">
      <alignment vertical="bottom"/>
    </xf>
    <xf borderId="1" fillId="4" fontId="7" numFmtId="0" xfId="0" applyAlignment="1" applyBorder="1" applyFill="1" applyFont="1">
      <alignment horizontal="center" vertical="bottom"/>
    </xf>
    <xf borderId="1" fillId="9" fontId="7" numFmtId="0" xfId="0" applyAlignment="1" applyBorder="1" applyFill="1" applyFont="1">
      <alignment vertical="bottom"/>
    </xf>
    <xf borderId="1" fillId="9" fontId="7" numFmtId="0" xfId="0" applyAlignment="1" applyBorder="1" applyFill="1" applyFont="1">
      <alignment horizontal="right" vertical="bottom"/>
    </xf>
    <xf borderId="1" fillId="9" fontId="2" numFmtId="0" xfId="0" applyAlignment="1" applyBorder="1" applyFill="1" applyFont="1">
      <alignment vertical="bottom"/>
    </xf>
    <xf borderId="0" fillId="7" fontId="2" numFmtId="0" xfId="0" applyAlignment="1" applyFill="1" applyFont="1">
      <alignment horizontal="center" vertical="bottom"/>
    </xf>
    <xf borderId="1" fillId="7" fontId="7" numFmtId="0" xfId="0" applyAlignment="1" applyBorder="1" applyFill="1" applyFont="1">
      <alignment horizontal="center" vertical="bottom"/>
    </xf>
    <xf borderId="1" fillId="8" fontId="2" numFmtId="0" xfId="0" applyAlignment="1" applyBorder="1" applyFill="1" applyFont="1">
      <alignment vertical="bottom"/>
    </xf>
    <xf borderId="1" fillId="0" fontId="7" numFmtId="0" xfId="0" applyAlignment="1" applyBorder="1" applyFont="1">
      <alignment vertical="bottom"/>
    </xf>
    <xf borderId="1" fillId="9" fontId="2" numFmtId="171" xfId="0" applyAlignment="1" applyBorder="1" applyFill="1" applyFont="1" applyNumberFormat="1">
      <alignment horizontal="center" vertical="bottom"/>
    </xf>
    <xf borderId="1" fillId="9" fontId="2" numFmtId="0" xfId="0" applyAlignment="1" applyBorder="1" applyFill="1" applyFont="1">
      <alignment horizontal="center" vertical="bottom"/>
    </xf>
    <xf borderId="0" fillId="9" fontId="2" numFmtId="0" xfId="0" applyAlignment="1" applyFill="1" applyFont="1">
      <alignment vertical="bottom"/>
    </xf>
    <xf borderId="1" fillId="9" fontId="2" numFmtId="0" xfId="0" applyAlignment="1" applyBorder="1" applyFill="1" applyFont="1">
      <alignment horizontal="right" vertical="bottom"/>
    </xf>
    <xf borderId="1" fillId="9" fontId="2" numFmtId="164" xfId="0" applyAlignment="1" applyBorder="1" applyFill="1" applyFont="1" applyNumberFormat="1">
      <alignment horizontal="right" vertical="bottom"/>
    </xf>
    <xf borderId="1" fillId="0" fontId="7" numFmtId="0" xfId="0" applyAlignment="1" applyBorder="1" applyFont="1">
      <alignment horizontal="right" vertical="bottom"/>
    </xf>
    <xf borderId="1" fillId="9" fontId="2" numFmtId="172" xfId="0" applyAlignment="1" applyBorder="1" applyFill="1" applyFont="1" applyNumberFormat="1">
      <alignment horizontal="center" vertical="bottom"/>
    </xf>
    <xf borderId="1" fillId="9" fontId="2" numFmtId="173" xfId="0" applyAlignment="1" applyBorder="1" applyFill="1" applyFont="1" applyNumberFormat="1">
      <alignment horizontal="right" vertical="bottom"/>
    </xf>
    <xf borderId="9" fillId="0" fontId="7" numFmtId="0" xfId="0" applyAlignment="1" applyBorder="1" applyFont="1">
      <alignment horizontal="center" vertical="bottom"/>
    </xf>
    <xf borderId="9" fillId="0" fontId="2" numFmtId="0" xfId="0" applyAlignment="1" applyBorder="1" applyFont="1">
      <alignment vertical="bottom"/>
    </xf>
    <xf borderId="0" fillId="7" fontId="2" numFmtId="0" xfId="0" applyAlignment="1" applyFill="1" applyFont="1">
      <alignment vertical="bottom"/>
    </xf>
    <xf borderId="1" fillId="9" fontId="2" numFmtId="174" xfId="0" applyAlignment="1" applyBorder="1" applyFill="1" applyFont="1" applyNumberFormat="1">
      <alignment horizontal="right" vertical="bottom"/>
    </xf>
    <xf borderId="0" fillId="10" fontId="10" numFmtId="0" xfId="0" applyAlignment="1" applyFill="1" applyFont="1">
      <alignment vertical="bottom"/>
    </xf>
    <xf borderId="0" fillId="0" fontId="7" numFmtId="0" xfId="0" applyAlignment="1" applyFont="1">
      <alignment horizontal="center" vertical="bottom"/>
    </xf>
    <xf borderId="1" fillId="9" fontId="11" numFmtId="0" xfId="0" applyAlignment="1" applyBorder="1" applyFill="1" applyFont="1">
      <alignment vertical="bottom"/>
    </xf>
    <xf borderId="1" fillId="9" fontId="7" numFmtId="0" xfId="0" applyAlignment="1" applyBorder="1" applyFill="1" applyFont="1">
      <alignment horizontal="center" vertical="bottom"/>
    </xf>
    <xf borderId="1" fillId="9" fontId="12" numFmtId="0" xfId="0" applyAlignment="1" applyBorder="1" applyFill="1" applyFont="1">
      <alignment vertical="bottom"/>
    </xf>
    <xf borderId="1" fillId="9" fontId="2" numFmtId="175" xfId="0" applyAlignment="1" applyBorder="1" applyFill="1" applyFont="1" applyNumberFormat="1">
      <alignment horizontal="right" vertical="bottom"/>
    </xf>
    <xf borderId="1" fillId="4" fontId="7" numFmtId="0" xfId="0" applyAlignment="1" applyBorder="1" applyFill="1" applyFont="1">
      <alignment horizontal="right" vertical="bottom"/>
    </xf>
    <xf borderId="1" fillId="9" fontId="2" numFmtId="175" xfId="0" applyAlignment="1" applyBorder="1" applyFill="1" applyFont="1" applyNumberFormat="1">
      <alignment horizontal="center" vertical="bottom"/>
    </xf>
    <xf borderId="1" fillId="9" fontId="9" numFmtId="0" xfId="0" applyAlignment="1" applyBorder="1" applyFill="1" applyFont="1">
      <alignment horizontal="center" vertical="bottom"/>
    </xf>
    <xf borderId="1" fillId="9" fontId="9" numFmtId="0" xfId="0" applyAlignment="1" applyBorder="1" applyFill="1" applyFont="1">
      <alignment vertical="bottom"/>
    </xf>
    <xf borderId="1" fillId="8" fontId="13" numFmtId="0" xfId="0" applyAlignment="1" applyBorder="1" applyFill="1" applyFont="1">
      <alignment horizontal="center" vertical="bottom"/>
    </xf>
    <xf borderId="1" fillId="9" fontId="2" numFmtId="175" xfId="0" applyAlignment="1" applyBorder="1" applyFill="1" applyFont="1" applyNumberFormat="1">
      <alignment vertical="bottom"/>
    </xf>
    <xf borderId="1" fillId="9" fontId="14" numFmtId="0" xfId="0" applyAlignment="1" applyBorder="1" applyFill="1" applyFont="1">
      <alignment horizontal="right" vertical="bottom"/>
    </xf>
    <xf borderId="1" fillId="9" fontId="2" numFmtId="174" xfId="0" applyAlignment="1" applyBorder="1" applyFill="1" applyFont="1" applyNumberFormat="1">
      <alignment horizontal="center" vertical="bottom"/>
    </xf>
    <xf borderId="0" fillId="9" fontId="15" numFmtId="0" xfId="0" applyAlignment="1" applyFill="1" applyFont="1">
      <alignment horizontal="right" vertical="bottom"/>
    </xf>
    <xf borderId="1" fillId="0" fontId="7" numFmtId="0" xfId="0" applyAlignment="1" applyBorder="1" applyFont="1">
      <alignment horizontal="center" vertical="bottom"/>
    </xf>
    <xf borderId="1" fillId="9" fontId="16" numFmtId="0" xfId="0" applyAlignment="1" applyBorder="1" applyFill="1" applyFont="1">
      <alignment vertical="bottom"/>
    </xf>
    <xf borderId="0" fillId="9" fontId="2" numFmtId="0" xfId="0" applyAlignment="1" applyFill="1" applyFont="1">
      <alignment horizontal="right" vertical="bottom"/>
    </xf>
    <xf borderId="0" fillId="9" fontId="7" numFmtId="0" xfId="0" applyAlignment="1" applyFill="1" applyFont="1">
      <alignment vertical="bottom"/>
    </xf>
    <xf borderId="1" fillId="9" fontId="2" numFmtId="172" xfId="0" applyAlignment="1" applyBorder="1" applyFill="1" applyFont="1" applyNumberFormat="1">
      <alignment horizontal="right" vertical="bottom"/>
    </xf>
    <xf borderId="1" fillId="9" fontId="3" numFmtId="0" xfId="0" applyAlignment="1" applyBorder="1" applyFill="1" applyFont="1">
      <alignment vertical="bottom"/>
    </xf>
    <xf borderId="1" fillId="9" fontId="2" numFmtId="176" xfId="0" applyAlignment="1" applyBorder="1" applyFill="1" applyFont="1" applyNumberFormat="1">
      <alignment horizontal="right" vertical="bottom"/>
    </xf>
    <xf borderId="0" fillId="9" fontId="17" numFmtId="0" xfId="0" applyAlignment="1" applyFill="1" applyFont="1">
      <alignment horizontal="right" vertical="bottom"/>
    </xf>
    <xf borderId="1" fillId="9" fontId="2" numFmtId="177" xfId="0" applyAlignment="1" applyBorder="1" applyFill="1" applyFont="1" applyNumberFormat="1">
      <alignment horizontal="right" vertical="bottom"/>
    </xf>
    <xf borderId="9" fillId="10" fontId="18" numFmtId="0" xfId="0" applyAlignment="1" applyBorder="1" applyFill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6">
    <tableStyle count="2" pivot="0" name="Jan 2026-style">
      <tableStyleElement dxfId="1" type="firstRowStripe"/>
      <tableStyleElement dxfId="2" type="secondRowStripe"/>
    </tableStyle>
    <tableStyle count="2" pivot="0" name="Jan 2026-style 2">
      <tableStyleElement dxfId="2" type="firstRowStripe"/>
      <tableStyleElement dxfId="1" type="secondRowStripe"/>
    </tableStyle>
    <tableStyle count="2" pivot="0" name="Jan 2026-style 3">
      <tableStyleElement dxfId="2" type="firstRowStripe"/>
      <tableStyleElement dxfId="1" type="secondRowStripe"/>
    </tableStyle>
    <tableStyle count="2" pivot="0" name="Jan 2026-style 4">
      <tableStyleElement dxfId="2" type="firstRowStripe"/>
      <tableStyleElement dxfId="1" type="secondRowStripe"/>
    </tableStyle>
    <tableStyle count="2" pivot="0" name="JULY 2026 -style">
      <tableStyleElement dxfId="2" type="firstRowStripe"/>
      <tableStyleElement dxfId="1" type="secondRowStripe"/>
    </tableStyle>
    <tableStyle count="2" pivot="0" name="JULY 2026 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7:E7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Jan 2026-style" showColumnStripes="0" showFirstColumn="1" showLastColumn="1" showRowStripes="1"/>
</table>
</file>

<file path=xl/tables/table2.xml><?xml version="1.0" encoding="utf-8"?>
<table xmlns="http://schemas.openxmlformats.org/spreadsheetml/2006/main" headerRowCount="0" ref="G7:J7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Jan 2026-style 2" showColumnStripes="0" showFirstColumn="1" showLastColumn="1" showRowStripes="1"/>
</table>
</file>

<file path=xl/tables/table3.xml><?xml version="1.0" encoding="utf-8"?>
<table xmlns="http://schemas.openxmlformats.org/spreadsheetml/2006/main" headerRowCount="0" ref="L7" displayName="Table_3" name="Table_3" id="3">
  <tableColumns count="1">
    <tableColumn name="Column1" id="1"/>
  </tableColumns>
  <tableStyleInfo name="Jan 2026-style 3" showColumnStripes="0" showFirstColumn="1" showLastColumn="1" showRowStripes="1"/>
</table>
</file>

<file path=xl/tables/table4.xml><?xml version="1.0" encoding="utf-8"?>
<table xmlns="http://schemas.openxmlformats.org/spreadsheetml/2006/main" headerRowCount="0" ref="Q7" displayName="Table_4" name="Table_4" id="4">
  <tableColumns count="1">
    <tableColumn name="Column1" id="1"/>
  </tableColumns>
  <tableStyleInfo name="Jan 2026-style 4" showColumnStripes="0" showFirstColumn="1" showLastColumn="1" showRowStripes="1"/>
</table>
</file>

<file path=xl/tables/table5.xml><?xml version="1.0" encoding="utf-8"?>
<table xmlns="http://schemas.openxmlformats.org/spreadsheetml/2006/main" headerRowCount="0" ref="Z7" displayName="Table_5" name="Table_5" id="5">
  <tableColumns count="1">
    <tableColumn name="Column1" id="1"/>
  </tableColumns>
  <tableStyleInfo name="JULY 2026 -style" showColumnStripes="0" showFirstColumn="1" showLastColumn="1" showRowStripes="1"/>
</table>
</file>

<file path=xl/tables/table6.xml><?xml version="1.0" encoding="utf-8"?>
<table xmlns="http://schemas.openxmlformats.org/spreadsheetml/2006/main" headerRowCount="0" ref="AE7" displayName="Table_6" name="Table_6" id="6">
  <tableColumns count="1">
    <tableColumn name="Column1" id="1"/>
  </tableColumns>
  <tableStyleInfo name="JULY 2026 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b.com/" TargetMode="External"/><Relationship Id="rId2" Type="http://schemas.openxmlformats.org/officeDocument/2006/relationships/hyperlink" Target="http://b.com/" TargetMode="External"/><Relationship Id="rId3" Type="http://schemas.openxmlformats.org/officeDocument/2006/relationships/hyperlink" Target="http://b.com/" TargetMode="External"/><Relationship Id="rId4" Type="http://schemas.openxmlformats.org/officeDocument/2006/relationships/hyperlink" Target="https://bdoncld.com/teacher/student_data/?student_id=2693" TargetMode="External"/><Relationship Id="rId10" Type="http://schemas.openxmlformats.org/officeDocument/2006/relationships/table" Target="../tables/table6.xml"/><Relationship Id="rId9" Type="http://schemas.openxmlformats.org/officeDocument/2006/relationships/table" Target="../tables/table5.xml"/><Relationship Id="rId5" Type="http://schemas.openxmlformats.org/officeDocument/2006/relationships/hyperlink" Target="http://b.com/" TargetMode="External"/><Relationship Id="rId6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  <c r="O1" s="4" t="s">
        <v>13</v>
      </c>
      <c r="P1" s="5" t="s">
        <v>14</v>
      </c>
      <c r="Q1" s="5" t="s">
        <v>15</v>
      </c>
      <c r="R1" s="6" t="s">
        <v>16</v>
      </c>
      <c r="S1" s="7" t="s">
        <v>14</v>
      </c>
      <c r="T1" s="4" t="s">
        <v>13</v>
      </c>
      <c r="U1" s="5" t="s">
        <v>14</v>
      </c>
      <c r="V1" s="5" t="s">
        <v>15</v>
      </c>
      <c r="W1" s="6" t="s">
        <v>16</v>
      </c>
      <c r="X1" s="7" t="s">
        <v>14</v>
      </c>
      <c r="Y1" s="8"/>
      <c r="Z1" s="9"/>
      <c r="AA1" s="9"/>
      <c r="AB1" s="9"/>
      <c r="AC1" s="9"/>
      <c r="AD1" s="9"/>
      <c r="AE1" s="9"/>
      <c r="AF1" s="9"/>
      <c r="AG1" s="9"/>
    </row>
    <row r="2">
      <c r="A2" s="10">
        <v>1.0</v>
      </c>
      <c r="B2" s="11">
        <v>45841.0</v>
      </c>
      <c r="C2" s="12">
        <v>2.2504263E7</v>
      </c>
      <c r="D2" s="13"/>
      <c r="E2" s="10" t="s">
        <v>17</v>
      </c>
      <c r="F2" s="10">
        <v>9.594885822E9</v>
      </c>
      <c r="G2" s="10" t="s">
        <v>18</v>
      </c>
      <c r="H2" s="10">
        <v>24000.0</v>
      </c>
      <c r="I2" s="10">
        <v>48000.0</v>
      </c>
      <c r="J2" s="10">
        <v>0.0</v>
      </c>
      <c r="K2" s="10" t="s">
        <v>19</v>
      </c>
      <c r="L2" s="10" t="s">
        <v>20</v>
      </c>
      <c r="M2" s="10" t="s">
        <v>21</v>
      </c>
      <c r="N2" s="14">
        <v>14000.0</v>
      </c>
      <c r="O2" s="15">
        <v>24000.0</v>
      </c>
      <c r="P2" s="9" t="s">
        <v>22</v>
      </c>
      <c r="Q2" s="16"/>
      <c r="R2" s="17">
        <v>14000.0</v>
      </c>
      <c r="S2" s="18"/>
      <c r="T2" s="15">
        <v>24000.0</v>
      </c>
      <c r="U2" s="9" t="s">
        <v>22</v>
      </c>
      <c r="V2" s="16"/>
      <c r="W2" s="17">
        <v>14000.0</v>
      </c>
      <c r="X2" s="18"/>
      <c r="Y2" s="8"/>
      <c r="Z2" s="8"/>
      <c r="AA2" s="19" t="s">
        <v>23</v>
      </c>
      <c r="AB2" s="8"/>
      <c r="AC2" s="8"/>
      <c r="AD2" s="8"/>
      <c r="AE2" s="8"/>
      <c r="AF2" s="8"/>
      <c r="AG2" s="8"/>
    </row>
    <row r="3">
      <c r="A3" s="20">
        <v>2.0</v>
      </c>
      <c r="B3" s="21">
        <v>45867.0</v>
      </c>
      <c r="C3" s="12">
        <v>2.2506413E7</v>
      </c>
      <c r="D3" s="22"/>
      <c r="E3" s="20" t="s">
        <v>24</v>
      </c>
      <c r="F3" s="20">
        <v>9.321641549E9</v>
      </c>
      <c r="G3" s="20" t="s">
        <v>18</v>
      </c>
      <c r="H3" s="23">
        <v>24000.0</v>
      </c>
      <c r="I3" s="20">
        <v>24000.0</v>
      </c>
      <c r="J3" s="20">
        <f>H3-I3</f>
        <v>0</v>
      </c>
      <c r="K3" s="20" t="s">
        <v>19</v>
      </c>
      <c r="L3" s="20" t="s">
        <v>20</v>
      </c>
      <c r="M3" s="10" t="s">
        <v>25</v>
      </c>
      <c r="N3" s="14">
        <v>14000.0</v>
      </c>
      <c r="O3" s="24">
        <v>24000.0</v>
      </c>
      <c r="P3" s="9" t="s">
        <v>26</v>
      </c>
      <c r="Q3" s="16"/>
      <c r="R3" s="17">
        <v>14000.0</v>
      </c>
      <c r="S3" s="18"/>
      <c r="T3" s="24">
        <v>24000.0</v>
      </c>
      <c r="U3" s="9"/>
      <c r="V3" s="16"/>
      <c r="W3" s="17">
        <v>14000.0</v>
      </c>
      <c r="X3" s="18"/>
      <c r="Y3" s="8"/>
      <c r="Z3" s="8"/>
      <c r="AA3" s="9"/>
      <c r="AB3" s="8"/>
      <c r="AC3" s="8"/>
      <c r="AD3" s="8"/>
      <c r="AE3" s="8"/>
      <c r="AF3" s="8"/>
      <c r="AG3" s="8"/>
    </row>
    <row r="4">
      <c r="A4" s="10">
        <v>3.0</v>
      </c>
      <c r="B4" s="11">
        <v>45875.0</v>
      </c>
      <c r="C4" s="25">
        <v>2.250635E7</v>
      </c>
      <c r="D4" s="10">
        <v>2.5092007E7</v>
      </c>
      <c r="E4" s="10" t="s">
        <v>27</v>
      </c>
      <c r="F4" s="10">
        <v>9.892152532E9</v>
      </c>
      <c r="G4" s="10" t="s">
        <v>18</v>
      </c>
      <c r="H4" s="10" t="s">
        <v>28</v>
      </c>
      <c r="I4" s="10">
        <v>24000.0</v>
      </c>
      <c r="J4" s="10">
        <v>10000.0</v>
      </c>
      <c r="K4" s="10" t="s">
        <v>29</v>
      </c>
      <c r="L4" s="10" t="s">
        <v>20</v>
      </c>
      <c r="M4" s="10" t="s">
        <v>25</v>
      </c>
      <c r="N4" s="14">
        <v>14000.0</v>
      </c>
      <c r="O4" s="24">
        <v>24000.0</v>
      </c>
      <c r="P4" s="26" t="s">
        <v>30</v>
      </c>
      <c r="Q4" s="16"/>
      <c r="R4" s="17">
        <v>14000.0</v>
      </c>
      <c r="S4" s="18"/>
      <c r="T4" s="24">
        <v>24000.0</v>
      </c>
      <c r="U4" s="9"/>
      <c r="V4" s="16"/>
      <c r="W4" s="17">
        <v>14000.0</v>
      </c>
      <c r="X4" s="18"/>
      <c r="Y4" s="8"/>
      <c r="Z4" s="8"/>
      <c r="AA4" s="9"/>
      <c r="AB4" s="8"/>
      <c r="AC4" s="8"/>
      <c r="AD4" s="8"/>
      <c r="AE4" s="8"/>
      <c r="AF4" s="8"/>
      <c r="AG4" s="8"/>
    </row>
    <row r="5">
      <c r="A5" s="20">
        <v>4.0</v>
      </c>
      <c r="B5" s="27">
        <v>45916.0</v>
      </c>
      <c r="C5" s="28">
        <v>2.2509712E7</v>
      </c>
      <c r="D5" s="20">
        <v>9052007.0</v>
      </c>
      <c r="E5" s="20" t="s">
        <v>31</v>
      </c>
      <c r="F5" s="20">
        <v>8.928983421E9</v>
      </c>
      <c r="G5" s="20" t="s">
        <v>18</v>
      </c>
      <c r="H5" s="23" t="s">
        <v>32</v>
      </c>
      <c r="I5" s="20">
        <v>24000.0</v>
      </c>
      <c r="J5" s="20">
        <v>9000.0</v>
      </c>
      <c r="K5" s="20" t="s">
        <v>33</v>
      </c>
      <c r="L5" s="20" t="s">
        <v>20</v>
      </c>
      <c r="M5" s="10" t="s">
        <v>25</v>
      </c>
      <c r="N5" s="14">
        <v>15000.0</v>
      </c>
      <c r="O5" s="24">
        <v>24000.0</v>
      </c>
      <c r="P5" s="26" t="s">
        <v>34</v>
      </c>
      <c r="Q5" s="29"/>
      <c r="R5" s="17">
        <v>14000.0</v>
      </c>
      <c r="S5" s="18"/>
      <c r="T5" s="24">
        <v>24000.0</v>
      </c>
      <c r="U5" s="9"/>
      <c r="V5" s="29"/>
      <c r="W5" s="17">
        <v>14000.0</v>
      </c>
      <c r="X5" s="18"/>
      <c r="Y5" s="8"/>
      <c r="Z5" s="8"/>
      <c r="AA5" s="19" t="s">
        <v>35</v>
      </c>
      <c r="AB5" s="8"/>
      <c r="AC5" s="8"/>
      <c r="AD5" s="8"/>
      <c r="AE5" s="8"/>
      <c r="AF5" s="8"/>
      <c r="AG5" s="8"/>
    </row>
    <row r="6">
      <c r="A6" s="20">
        <v>5.0</v>
      </c>
      <c r="B6" s="30">
        <v>45943.0</v>
      </c>
      <c r="C6" s="31">
        <v>1.2609143E7</v>
      </c>
      <c r="D6" s="32">
        <v>4012005.0</v>
      </c>
      <c r="E6" s="32" t="s">
        <v>36</v>
      </c>
      <c r="F6" s="23">
        <v>8.291684078E9</v>
      </c>
      <c r="G6" s="20" t="s">
        <v>37</v>
      </c>
      <c r="H6" s="20" t="s">
        <v>38</v>
      </c>
      <c r="I6" s="20">
        <v>44000.0</v>
      </c>
      <c r="J6" s="20">
        <v>0.0</v>
      </c>
      <c r="K6" s="20" t="s">
        <v>39</v>
      </c>
      <c r="L6" s="20" t="s">
        <v>40</v>
      </c>
      <c r="M6" s="20" t="s">
        <v>41</v>
      </c>
      <c r="N6" s="14">
        <v>13000.0</v>
      </c>
      <c r="O6" s="24">
        <v>22000.0</v>
      </c>
      <c r="P6" s="9" t="s">
        <v>22</v>
      </c>
      <c r="Q6" s="29"/>
      <c r="R6" s="17">
        <v>13000.0</v>
      </c>
      <c r="S6" s="18"/>
      <c r="T6" s="24">
        <v>22000.0</v>
      </c>
      <c r="U6" s="9" t="s">
        <v>22</v>
      </c>
      <c r="V6" s="29"/>
      <c r="W6" s="17">
        <v>13000.0</v>
      </c>
      <c r="X6" s="18"/>
      <c r="Y6" s="8"/>
      <c r="Z6" s="8"/>
      <c r="AA6" s="19" t="s">
        <v>23</v>
      </c>
      <c r="AB6" s="8"/>
      <c r="AC6" s="8"/>
      <c r="AD6" s="8"/>
      <c r="AE6" s="8"/>
      <c r="AF6" s="8"/>
      <c r="AG6" s="8"/>
    </row>
    <row r="7">
      <c r="A7" s="23">
        <v>6.0</v>
      </c>
      <c r="B7" s="33">
        <v>45987.0</v>
      </c>
      <c r="C7" s="28">
        <v>2.2518358E7</v>
      </c>
      <c r="D7" s="34">
        <v>6062007.0</v>
      </c>
      <c r="E7" s="35" t="s">
        <v>42</v>
      </c>
      <c r="F7" s="23">
        <v>7.304179882E9</v>
      </c>
      <c r="G7" s="23" t="s">
        <v>18</v>
      </c>
      <c r="H7" s="23">
        <v>30000.0</v>
      </c>
      <c r="I7" s="23">
        <v>48000.0</v>
      </c>
      <c r="J7" s="23">
        <v>0.0</v>
      </c>
      <c r="K7" s="23" t="s">
        <v>29</v>
      </c>
      <c r="L7" s="23" t="s">
        <v>20</v>
      </c>
      <c r="M7" s="23" t="s">
        <v>21</v>
      </c>
      <c r="N7" s="14">
        <v>14000.0</v>
      </c>
      <c r="O7" s="15">
        <v>24000.0</v>
      </c>
      <c r="P7" s="9" t="s">
        <v>22</v>
      </c>
      <c r="Q7" s="16" t="s">
        <v>43</v>
      </c>
      <c r="R7" s="17">
        <v>14000.0</v>
      </c>
      <c r="S7" s="18"/>
      <c r="T7" s="15">
        <v>24000.0</v>
      </c>
      <c r="U7" s="9" t="s">
        <v>22</v>
      </c>
      <c r="V7" s="16" t="s">
        <v>43</v>
      </c>
      <c r="W7" s="17">
        <v>14000.0</v>
      </c>
      <c r="X7" s="18"/>
      <c r="Y7" s="9"/>
      <c r="Z7" s="9"/>
      <c r="AA7" s="19" t="s">
        <v>23</v>
      </c>
      <c r="AB7" s="9"/>
      <c r="AC7" s="9"/>
      <c r="AD7" s="9"/>
      <c r="AE7" s="9"/>
      <c r="AF7" s="9"/>
      <c r="AG7" s="9"/>
    </row>
    <row r="8">
      <c r="A8" s="9"/>
      <c r="B8" s="9"/>
      <c r="C8" s="8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 t="s">
        <v>44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>
      <c r="A13" s="9"/>
      <c r="B13" s="9"/>
      <c r="C13" s="9"/>
      <c r="D13" s="9"/>
      <c r="E13" s="9"/>
      <c r="F13" s="8"/>
      <c r="G13" s="8"/>
      <c r="H13" s="8"/>
      <c r="I13" s="8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>
      <c r="A17" s="37">
        <v>46228.0</v>
      </c>
      <c r="B17" s="8"/>
      <c r="C17" s="8"/>
      <c r="D17" s="8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>
      <c r="A18" s="19" t="s">
        <v>55</v>
      </c>
      <c r="B18" s="39">
        <v>46079.0</v>
      </c>
      <c r="C18" s="19" t="s">
        <v>56</v>
      </c>
      <c r="D18" s="19" t="s">
        <v>57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>
      <c r="A19" s="19" t="s">
        <v>60</v>
      </c>
      <c r="B19" s="41">
        <v>46260.0</v>
      </c>
      <c r="C19" s="19" t="s">
        <v>56</v>
      </c>
      <c r="D19" s="19" t="s">
        <v>61</v>
      </c>
      <c r="E19" s="9"/>
      <c r="F19" s="9"/>
      <c r="G19" s="9"/>
      <c r="H19" s="9"/>
      <c r="I19" s="9"/>
      <c r="J19" s="9"/>
      <c r="K19" s="9"/>
      <c r="L19" s="9"/>
      <c r="M19" s="9"/>
      <c r="N19" s="43" t="s">
        <v>62</v>
      </c>
      <c r="O19" s="43" t="s">
        <v>63</v>
      </c>
      <c r="P19" s="43" t="s">
        <v>64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44" t="s">
        <v>66</v>
      </c>
      <c r="O20" s="45">
        <v>16800.0</v>
      </c>
      <c r="P20" s="45">
        <v>19200.0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44" t="s">
        <v>70</v>
      </c>
      <c r="O21" s="45">
        <v>10850.0</v>
      </c>
      <c r="P21" s="45">
        <v>13950.0</v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44" t="s">
        <v>71</v>
      </c>
      <c r="O22" s="45">
        <v>9650.0</v>
      </c>
      <c r="P22" s="45">
        <v>16865.0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44" t="s">
        <v>73</v>
      </c>
      <c r="O23" s="47" t="s">
        <v>74</v>
      </c>
      <c r="P23" s="45">
        <v>18500.0</v>
      </c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45</v>
      </c>
      <c r="B1" s="1" t="s">
        <v>2</v>
      </c>
      <c r="C1" s="1" t="s">
        <v>3</v>
      </c>
      <c r="D1" s="36" t="s">
        <v>46</v>
      </c>
      <c r="E1" s="36" t="s">
        <v>47</v>
      </c>
      <c r="F1" s="36" t="s">
        <v>48</v>
      </c>
      <c r="G1" s="36" t="s">
        <v>49</v>
      </c>
      <c r="H1" s="36" t="s">
        <v>50</v>
      </c>
      <c r="I1" s="36" t="s">
        <v>51</v>
      </c>
      <c r="J1" s="36" t="s">
        <v>52</v>
      </c>
      <c r="K1" s="36" t="s">
        <v>53</v>
      </c>
      <c r="L1" s="4" t="s">
        <v>13</v>
      </c>
      <c r="M1" s="5" t="s">
        <v>14</v>
      </c>
      <c r="N1" s="5" t="s">
        <v>15</v>
      </c>
      <c r="O1" s="6" t="s">
        <v>16</v>
      </c>
      <c r="P1" s="7" t="s">
        <v>14</v>
      </c>
      <c r="Q1" s="4" t="s">
        <v>54</v>
      </c>
      <c r="R1" s="5" t="s">
        <v>14</v>
      </c>
      <c r="S1" s="5" t="s">
        <v>15</v>
      </c>
      <c r="T1" s="6" t="s">
        <v>16</v>
      </c>
      <c r="U1" s="7" t="s">
        <v>14</v>
      </c>
    </row>
    <row r="2">
      <c r="A2" s="22"/>
      <c r="B2" s="38">
        <v>1.2604127E7</v>
      </c>
      <c r="C2" s="35"/>
      <c r="D2" s="23" t="s">
        <v>58</v>
      </c>
      <c r="E2" s="23">
        <v>9.819074864E9</v>
      </c>
      <c r="F2" s="35"/>
      <c r="G2" s="23" t="s">
        <v>59</v>
      </c>
      <c r="H2" s="40">
        <v>34000.0</v>
      </c>
      <c r="I2" s="40">
        <v>34000.0</v>
      </c>
      <c r="J2" s="22" t="s">
        <v>22</v>
      </c>
      <c r="K2" s="40">
        <v>19000.0</v>
      </c>
      <c r="L2" s="40">
        <v>34000.0</v>
      </c>
      <c r="M2" s="9"/>
      <c r="N2" s="16"/>
      <c r="O2" s="42"/>
      <c r="P2" s="18"/>
      <c r="Q2" s="40">
        <v>34000.0</v>
      </c>
      <c r="R2" s="9"/>
      <c r="S2" s="16"/>
      <c r="T2" s="42"/>
      <c r="U2" s="18"/>
    </row>
    <row r="3">
      <c r="A3" s="22"/>
      <c r="B3" s="38">
        <v>1.2604302E7</v>
      </c>
      <c r="C3" s="35"/>
      <c r="D3" s="23" t="s">
        <v>65</v>
      </c>
      <c r="E3" s="23">
        <v>9.8927585E9</v>
      </c>
      <c r="F3" s="35"/>
      <c r="G3" s="23" t="s">
        <v>18</v>
      </c>
      <c r="H3" s="40">
        <v>24000.0</v>
      </c>
      <c r="I3" s="40">
        <v>24000.0</v>
      </c>
      <c r="J3" s="22" t="s">
        <v>22</v>
      </c>
      <c r="K3" s="40">
        <v>14000.0</v>
      </c>
      <c r="L3" s="40">
        <v>24000.0</v>
      </c>
      <c r="M3" s="9"/>
      <c r="N3" s="16"/>
      <c r="O3" s="42"/>
      <c r="P3" s="18"/>
      <c r="Q3" s="40">
        <v>24000.0</v>
      </c>
      <c r="R3" s="9"/>
      <c r="S3" s="16"/>
      <c r="T3" s="42"/>
      <c r="U3" s="18"/>
    </row>
    <row r="4">
      <c r="A4" s="22"/>
      <c r="B4" s="38">
        <v>1.2604129E7</v>
      </c>
      <c r="C4" s="35"/>
      <c r="D4" s="23" t="s">
        <v>67</v>
      </c>
      <c r="E4" s="23">
        <v>9.324442419E9</v>
      </c>
      <c r="F4" s="35"/>
      <c r="G4" s="23" t="s">
        <v>68</v>
      </c>
      <c r="H4" s="40">
        <v>34000.0</v>
      </c>
      <c r="I4" s="40">
        <v>34000.0</v>
      </c>
      <c r="J4" s="22" t="s">
        <v>22</v>
      </c>
      <c r="K4" s="40">
        <v>19000.0</v>
      </c>
      <c r="L4" s="40">
        <v>34000.0</v>
      </c>
      <c r="M4" s="9"/>
      <c r="N4" s="16"/>
      <c r="O4" s="42"/>
      <c r="P4" s="18"/>
      <c r="Q4" s="40">
        <v>34000.0</v>
      </c>
      <c r="R4" s="9"/>
      <c r="S4" s="16"/>
      <c r="T4" s="42"/>
      <c r="U4" s="18"/>
    </row>
    <row r="5">
      <c r="A5" s="22"/>
      <c r="B5" s="38">
        <v>1.2603999E7</v>
      </c>
      <c r="C5" s="35"/>
      <c r="D5" s="23" t="s">
        <v>69</v>
      </c>
      <c r="E5" s="23">
        <v>8.454082404E9</v>
      </c>
      <c r="F5" s="35"/>
      <c r="G5" s="23" t="s">
        <v>18</v>
      </c>
      <c r="H5" s="40">
        <v>24000.0</v>
      </c>
      <c r="I5" s="40">
        <v>24000.0</v>
      </c>
      <c r="J5" s="22" t="s">
        <v>22</v>
      </c>
      <c r="K5" s="40">
        <v>14000.0</v>
      </c>
      <c r="L5" s="40">
        <v>24000.0</v>
      </c>
      <c r="M5" s="9"/>
      <c r="N5" s="29"/>
      <c r="O5" s="42"/>
      <c r="P5" s="18"/>
      <c r="Q5" s="40">
        <v>24000.0</v>
      </c>
      <c r="R5" s="9"/>
      <c r="S5" s="29"/>
      <c r="T5" s="42"/>
      <c r="U5" s="18"/>
    </row>
    <row r="6">
      <c r="A6" s="22"/>
      <c r="B6" s="46">
        <v>1.2603989E7</v>
      </c>
      <c r="C6" s="22"/>
      <c r="D6" s="20" t="s">
        <v>72</v>
      </c>
      <c r="E6" s="20">
        <v>8.828089251E9</v>
      </c>
      <c r="F6" s="22"/>
      <c r="G6" s="20" t="s">
        <v>75</v>
      </c>
      <c r="H6" s="40">
        <v>34000.0</v>
      </c>
      <c r="I6" s="40">
        <v>34000.0</v>
      </c>
      <c r="J6" s="22" t="s">
        <v>22</v>
      </c>
      <c r="K6" s="40">
        <v>19000.0</v>
      </c>
      <c r="L6" s="40">
        <v>34000.0</v>
      </c>
      <c r="M6" s="9"/>
      <c r="N6" s="29"/>
      <c r="O6" s="42"/>
      <c r="P6" s="18"/>
      <c r="Q6" s="40">
        <v>34000.0</v>
      </c>
      <c r="R6" s="9"/>
      <c r="S6" s="29"/>
      <c r="T6" s="42"/>
      <c r="U6" s="18"/>
    </row>
    <row r="7">
      <c r="A7" s="22"/>
      <c r="B7" s="48">
        <v>1.2603996E7</v>
      </c>
      <c r="C7" s="49"/>
      <c r="D7" s="50" t="s">
        <v>76</v>
      </c>
      <c r="E7" s="50" t="s">
        <v>77</v>
      </c>
      <c r="F7" s="22"/>
      <c r="G7" s="51" t="s">
        <v>37</v>
      </c>
      <c r="H7" s="52">
        <v>22000.0</v>
      </c>
      <c r="I7" s="52">
        <v>22000.0</v>
      </c>
      <c r="J7" s="49" t="s">
        <v>22</v>
      </c>
      <c r="K7" s="40">
        <v>13000.0</v>
      </c>
      <c r="L7" s="52">
        <v>22000.0</v>
      </c>
      <c r="M7" s="9"/>
      <c r="N7" s="16"/>
      <c r="O7" s="42"/>
      <c r="P7" s="18"/>
      <c r="Q7" s="52">
        <v>22000.0</v>
      </c>
      <c r="R7" s="9"/>
      <c r="S7" s="16"/>
      <c r="T7" s="42"/>
      <c r="U7" s="18"/>
    </row>
  </sheetData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3" t="s">
        <v>45</v>
      </c>
      <c r="B1" s="1" t="s">
        <v>2</v>
      </c>
      <c r="C1" s="1" t="s">
        <v>3</v>
      </c>
      <c r="D1" s="53" t="s">
        <v>46</v>
      </c>
      <c r="E1" s="53" t="s">
        <v>47</v>
      </c>
      <c r="F1" s="53" t="s">
        <v>48</v>
      </c>
      <c r="G1" s="53" t="s">
        <v>49</v>
      </c>
      <c r="H1" s="53" t="s">
        <v>78</v>
      </c>
      <c r="I1" s="53" t="s">
        <v>51</v>
      </c>
      <c r="J1" s="54" t="s">
        <v>79</v>
      </c>
      <c r="K1" s="54" t="s">
        <v>80</v>
      </c>
      <c r="L1" s="55" t="s">
        <v>14</v>
      </c>
      <c r="M1" s="53" t="s">
        <v>53</v>
      </c>
      <c r="N1" s="53" t="s">
        <v>81</v>
      </c>
      <c r="O1" s="56" t="s">
        <v>82</v>
      </c>
      <c r="P1" s="53" t="s">
        <v>83</v>
      </c>
      <c r="Q1" s="53" t="s">
        <v>84</v>
      </c>
      <c r="R1" s="57" t="s">
        <v>85</v>
      </c>
      <c r="S1" s="57" t="s">
        <v>86</v>
      </c>
      <c r="T1" s="57" t="s">
        <v>87</v>
      </c>
      <c r="U1" s="57" t="s">
        <v>88</v>
      </c>
      <c r="V1" s="57" t="s">
        <v>14</v>
      </c>
      <c r="W1" s="58" t="s">
        <v>89</v>
      </c>
      <c r="X1" s="59" t="s">
        <v>90</v>
      </c>
      <c r="Y1" s="9" t="s">
        <v>91</v>
      </c>
      <c r="Z1" s="4" t="s">
        <v>13</v>
      </c>
      <c r="AA1" s="5" t="s">
        <v>14</v>
      </c>
      <c r="AB1" s="5" t="s">
        <v>15</v>
      </c>
      <c r="AC1" s="6" t="s">
        <v>16</v>
      </c>
      <c r="AD1" s="7" t="s">
        <v>14</v>
      </c>
      <c r="AE1" s="4" t="s">
        <v>54</v>
      </c>
      <c r="AF1" s="5" t="s">
        <v>14</v>
      </c>
      <c r="AG1" s="5" t="s">
        <v>15</v>
      </c>
      <c r="AH1" s="6" t="s">
        <v>16</v>
      </c>
      <c r="AI1" s="7" t="s">
        <v>14</v>
      </c>
    </row>
    <row r="2">
      <c r="A2" s="60">
        <v>1001.0</v>
      </c>
      <c r="B2" s="22"/>
      <c r="C2" s="22"/>
      <c r="D2" s="61" t="s">
        <v>92</v>
      </c>
      <c r="E2" s="62">
        <v>8.928423236E9</v>
      </c>
      <c r="F2" s="63"/>
      <c r="G2" s="61" t="s">
        <v>37</v>
      </c>
      <c r="H2" s="62">
        <v>45500.0</v>
      </c>
      <c r="I2" s="62">
        <v>23500.0</v>
      </c>
      <c r="J2" s="64">
        <v>0.0</v>
      </c>
      <c r="K2" s="65">
        <f t="shared" ref="K2:K3" si="1">H2-I2</f>
        <v>22000</v>
      </c>
      <c r="L2" s="66"/>
      <c r="M2" s="67" t="s">
        <v>93</v>
      </c>
      <c r="N2" s="67" t="s">
        <v>94</v>
      </c>
      <c r="O2" s="63"/>
      <c r="P2" s="63"/>
      <c r="Q2" s="63"/>
      <c r="R2" s="63" t="s">
        <v>95</v>
      </c>
      <c r="S2" s="68">
        <v>46147.0</v>
      </c>
      <c r="T2" s="69" t="s">
        <v>96</v>
      </c>
      <c r="U2" s="70" t="s">
        <v>97</v>
      </c>
      <c r="V2" s="63"/>
      <c r="W2" s="71">
        <v>22000.0</v>
      </c>
      <c r="X2" s="72">
        <v>46183.0</v>
      </c>
      <c r="Y2" s="9"/>
      <c r="Z2" s="73">
        <v>44000.0</v>
      </c>
      <c r="AA2" s="9"/>
      <c r="AB2" s="16"/>
      <c r="AC2" s="42"/>
      <c r="AD2" s="18"/>
      <c r="AE2" s="73">
        <v>44000.0</v>
      </c>
      <c r="AF2" s="9"/>
      <c r="AG2" s="16"/>
      <c r="AH2" s="42"/>
      <c r="AI2" s="18"/>
    </row>
    <row r="3">
      <c r="A3" s="60">
        <v>1002.0</v>
      </c>
      <c r="B3" s="22"/>
      <c r="C3" s="22"/>
      <c r="D3" s="61" t="s">
        <v>98</v>
      </c>
      <c r="E3" s="62">
        <v>8.879054615E9</v>
      </c>
      <c r="F3" s="63"/>
      <c r="G3" s="61" t="s">
        <v>37</v>
      </c>
      <c r="H3" s="62">
        <v>66400.0</v>
      </c>
      <c r="I3" s="62">
        <v>37000.0</v>
      </c>
      <c r="J3" s="64">
        <v>0.0</v>
      </c>
      <c r="K3" s="65">
        <f t="shared" si="1"/>
        <v>29400</v>
      </c>
      <c r="L3" s="66"/>
      <c r="M3" s="67" t="s">
        <v>99</v>
      </c>
      <c r="N3" s="67" t="s">
        <v>94</v>
      </c>
      <c r="O3" s="63"/>
      <c r="P3" s="63"/>
      <c r="Q3" s="63"/>
      <c r="R3" s="63" t="s">
        <v>100</v>
      </c>
      <c r="S3" s="74">
        <v>46163.0</v>
      </c>
      <c r="T3" s="69" t="s">
        <v>101</v>
      </c>
      <c r="U3" s="63" t="s">
        <v>102</v>
      </c>
      <c r="V3" s="63"/>
      <c r="W3" s="71">
        <v>19340.0</v>
      </c>
      <c r="X3" s="75">
        <v>46221.0</v>
      </c>
      <c r="Y3" s="9"/>
      <c r="Z3" s="73">
        <v>66400.0</v>
      </c>
      <c r="AA3" s="9"/>
      <c r="AB3" s="16"/>
      <c r="AC3" s="42"/>
      <c r="AD3" s="18"/>
      <c r="AE3" s="73">
        <v>66400.0</v>
      </c>
      <c r="AF3" s="9"/>
      <c r="AG3" s="16"/>
      <c r="AH3" s="42"/>
      <c r="AI3" s="18"/>
    </row>
    <row r="4">
      <c r="A4" s="60">
        <v>1003.0</v>
      </c>
      <c r="B4" s="76">
        <v>2.2605382E7</v>
      </c>
      <c r="C4" s="77"/>
      <c r="D4" s="61" t="s">
        <v>103</v>
      </c>
      <c r="E4" s="62">
        <v>9.702701219E9</v>
      </c>
      <c r="F4" s="63"/>
      <c r="G4" s="61" t="s">
        <v>18</v>
      </c>
      <c r="H4" s="62">
        <v>24000.0</v>
      </c>
      <c r="I4" s="62">
        <v>24000.0</v>
      </c>
      <c r="J4" s="65">
        <f t="shared" ref="J4:J5" si="2">H4-I4</f>
        <v>0</v>
      </c>
      <c r="K4" s="78"/>
      <c r="L4" s="66"/>
      <c r="M4" s="67" t="s">
        <v>104</v>
      </c>
      <c r="N4" s="67" t="s">
        <v>94</v>
      </c>
      <c r="O4" s="63"/>
      <c r="P4" s="63"/>
      <c r="Q4" s="63"/>
      <c r="R4" s="63" t="s">
        <v>105</v>
      </c>
      <c r="S4" s="74">
        <v>46165.0</v>
      </c>
      <c r="T4" s="69" t="s">
        <v>96</v>
      </c>
      <c r="U4" s="63"/>
      <c r="V4" s="63"/>
      <c r="W4" s="71">
        <v>14000.0</v>
      </c>
      <c r="X4" s="79">
        <v>46261.0</v>
      </c>
      <c r="Y4" s="80" t="s">
        <v>43</v>
      </c>
      <c r="Z4" s="73">
        <v>24000.0</v>
      </c>
      <c r="AA4" s="9"/>
      <c r="AB4" s="16"/>
      <c r="AC4" s="42"/>
      <c r="AD4" s="18"/>
      <c r="AE4" s="73">
        <v>24000.0</v>
      </c>
      <c r="AF4" s="9"/>
      <c r="AG4" s="16"/>
      <c r="AH4" s="42"/>
      <c r="AI4" s="18"/>
    </row>
    <row r="5">
      <c r="A5" s="60">
        <v>1004.0</v>
      </c>
      <c r="B5" s="81">
        <v>2.2602537E7</v>
      </c>
      <c r="C5" s="22"/>
      <c r="D5" s="61" t="s">
        <v>106</v>
      </c>
      <c r="E5" s="62">
        <v>9.804222111E9</v>
      </c>
      <c r="F5" s="63"/>
      <c r="G5" s="82" t="s">
        <v>107</v>
      </c>
      <c r="H5" s="62">
        <v>14000.0</v>
      </c>
      <c r="I5" s="62">
        <v>14000.0</v>
      </c>
      <c r="J5" s="65">
        <f t="shared" si="2"/>
        <v>0</v>
      </c>
      <c r="K5" s="78"/>
      <c r="L5" s="66"/>
      <c r="M5" s="67" t="s">
        <v>104</v>
      </c>
      <c r="N5" s="67" t="s">
        <v>94</v>
      </c>
      <c r="O5" s="63"/>
      <c r="P5" s="63"/>
      <c r="Q5" s="63"/>
      <c r="R5" s="63" t="s">
        <v>108</v>
      </c>
      <c r="S5" s="74">
        <v>46123.0</v>
      </c>
      <c r="T5" s="69" t="s">
        <v>96</v>
      </c>
      <c r="U5" s="63"/>
      <c r="V5" s="63"/>
      <c r="W5" s="71">
        <v>10000.0</v>
      </c>
      <c r="X5" s="75">
        <v>46228.0</v>
      </c>
      <c r="Y5" s="8" t="s">
        <v>43</v>
      </c>
      <c r="Z5" s="73">
        <v>14000.0</v>
      </c>
      <c r="AA5" s="9"/>
      <c r="AB5" s="29"/>
      <c r="AC5" s="42"/>
      <c r="AD5" s="18"/>
      <c r="AE5" s="73">
        <v>14000.0</v>
      </c>
      <c r="AF5" s="9"/>
      <c r="AG5" s="29"/>
      <c r="AH5" s="42"/>
      <c r="AI5" s="18"/>
    </row>
    <row r="6">
      <c r="A6" s="60">
        <v>1005.0</v>
      </c>
      <c r="B6" s="22"/>
      <c r="C6" s="22"/>
      <c r="D6" s="61" t="s">
        <v>109</v>
      </c>
      <c r="E6" s="62">
        <v>8.097329962E9</v>
      </c>
      <c r="F6" s="63"/>
      <c r="G6" s="61" t="s">
        <v>18</v>
      </c>
      <c r="H6" s="62">
        <v>45500.0</v>
      </c>
      <c r="I6" s="62">
        <v>23500.0</v>
      </c>
      <c r="J6" s="64">
        <v>0.0</v>
      </c>
      <c r="K6" s="65">
        <f>H6-I6</f>
        <v>22000</v>
      </c>
      <c r="L6" s="66"/>
      <c r="M6" s="67" t="s">
        <v>93</v>
      </c>
      <c r="N6" s="67" t="s">
        <v>94</v>
      </c>
      <c r="O6" s="83" t="s">
        <v>110</v>
      </c>
      <c r="P6" s="63"/>
      <c r="Q6" s="63"/>
      <c r="R6" s="63" t="s">
        <v>111</v>
      </c>
      <c r="S6" s="74">
        <v>46165.0</v>
      </c>
      <c r="T6" s="63" t="s">
        <v>96</v>
      </c>
      <c r="U6" s="63" t="s">
        <v>97</v>
      </c>
      <c r="V6" s="63"/>
      <c r="W6" s="63" t="s">
        <v>112</v>
      </c>
      <c r="X6" s="22"/>
      <c r="Y6" s="9"/>
      <c r="Z6" s="73">
        <v>44000.0</v>
      </c>
      <c r="AA6" s="9"/>
      <c r="AB6" s="29"/>
      <c r="AC6" s="42"/>
      <c r="AD6" s="18"/>
      <c r="AE6" s="73">
        <v>44000.0</v>
      </c>
      <c r="AF6" s="9"/>
      <c r="AG6" s="29"/>
      <c r="AH6" s="42"/>
      <c r="AI6" s="18"/>
    </row>
    <row r="7">
      <c r="A7" s="60">
        <v>1006.0</v>
      </c>
      <c r="B7" s="81">
        <v>2.2603065E7</v>
      </c>
      <c r="C7" s="22"/>
      <c r="D7" s="61" t="s">
        <v>113</v>
      </c>
      <c r="E7" s="62">
        <v>9.32624953E9</v>
      </c>
      <c r="F7" s="61" t="s">
        <v>114</v>
      </c>
      <c r="G7" s="84" t="s">
        <v>115</v>
      </c>
      <c r="H7" s="62">
        <v>14000.0</v>
      </c>
      <c r="I7" s="62">
        <v>14000.0</v>
      </c>
      <c r="J7" s="65">
        <f t="shared" ref="J7:J8" si="3">H7-I7</f>
        <v>0</v>
      </c>
      <c r="K7" s="78"/>
      <c r="L7" s="66"/>
      <c r="M7" s="67" t="s">
        <v>104</v>
      </c>
      <c r="N7" s="67" t="s">
        <v>94</v>
      </c>
      <c r="O7" s="63"/>
      <c r="P7" s="63"/>
      <c r="Q7" s="63"/>
      <c r="R7" s="63" t="s">
        <v>116</v>
      </c>
      <c r="S7" s="74">
        <v>46179.0</v>
      </c>
      <c r="T7" s="69" t="s">
        <v>96</v>
      </c>
      <c r="U7" s="63"/>
      <c r="V7" s="63"/>
      <c r="W7" s="71">
        <v>10000.0</v>
      </c>
      <c r="X7" s="85">
        <v>46232.0</v>
      </c>
      <c r="Y7" s="8" t="s">
        <v>43</v>
      </c>
      <c r="Z7" s="86">
        <v>14000.0</v>
      </c>
      <c r="AA7" s="9"/>
      <c r="AB7" s="16"/>
      <c r="AC7" s="42"/>
      <c r="AD7" s="18"/>
      <c r="AE7" s="86">
        <v>14000.0</v>
      </c>
      <c r="AF7" s="9"/>
      <c r="AG7" s="16"/>
      <c r="AH7" s="42"/>
      <c r="AI7" s="18"/>
    </row>
    <row r="8">
      <c r="A8" s="60">
        <v>1007.0</v>
      </c>
      <c r="B8" s="81">
        <v>2.2603084E7</v>
      </c>
      <c r="C8" s="22"/>
      <c r="D8" s="61" t="s">
        <v>117</v>
      </c>
      <c r="E8" s="62">
        <v>8.591878825E9</v>
      </c>
      <c r="F8" s="63"/>
      <c r="G8" s="61" t="s">
        <v>18</v>
      </c>
      <c r="H8" s="62">
        <v>24000.0</v>
      </c>
      <c r="I8" s="62">
        <v>24000.0</v>
      </c>
      <c r="J8" s="65">
        <f t="shared" si="3"/>
        <v>0</v>
      </c>
      <c r="K8" s="78"/>
      <c r="L8" s="66"/>
      <c r="M8" s="67" t="s">
        <v>104</v>
      </c>
      <c r="N8" s="67" t="s">
        <v>94</v>
      </c>
      <c r="O8" s="63"/>
      <c r="P8" s="63"/>
      <c r="Q8" s="63"/>
      <c r="R8" s="63" t="s">
        <v>118</v>
      </c>
      <c r="S8" s="74">
        <v>46188.0</v>
      </c>
      <c r="T8" s="69" t="s">
        <v>96</v>
      </c>
      <c r="U8" s="63"/>
      <c r="V8" s="63"/>
      <c r="W8" s="71">
        <v>14000.0</v>
      </c>
      <c r="X8" s="85">
        <v>46232.0</v>
      </c>
      <c r="Y8" s="8" t="s">
        <v>43</v>
      </c>
      <c r="Z8" s="73">
        <v>24000.0</v>
      </c>
      <c r="AA8" s="8"/>
      <c r="AB8" s="8"/>
      <c r="AC8" s="8"/>
      <c r="AD8" s="8"/>
      <c r="AE8" s="73">
        <v>24000.0</v>
      </c>
      <c r="AF8" s="8"/>
      <c r="AG8" s="8"/>
      <c r="AH8" s="8"/>
      <c r="AI8" s="8"/>
    </row>
    <row r="9">
      <c r="A9" s="60">
        <v>1008.0</v>
      </c>
      <c r="B9" s="22"/>
      <c r="C9" s="22"/>
      <c r="D9" s="61" t="s">
        <v>119</v>
      </c>
      <c r="E9" s="62">
        <v>9.167191832E9</v>
      </c>
      <c r="F9" s="61" t="s">
        <v>120</v>
      </c>
      <c r="G9" s="61" t="s">
        <v>18</v>
      </c>
      <c r="H9" s="62">
        <v>45500.0</v>
      </c>
      <c r="I9" s="62">
        <v>23500.0</v>
      </c>
      <c r="J9" s="64">
        <v>0.0</v>
      </c>
      <c r="K9" s="65">
        <f>H9-I9</f>
        <v>22000</v>
      </c>
      <c r="L9" s="66"/>
      <c r="M9" s="67" t="s">
        <v>93</v>
      </c>
      <c r="N9" s="67" t="s">
        <v>94</v>
      </c>
      <c r="O9" s="63"/>
      <c r="P9" s="63"/>
      <c r="Q9" s="63"/>
      <c r="R9" s="63" t="s">
        <v>111</v>
      </c>
      <c r="S9" s="74">
        <v>46188.0</v>
      </c>
      <c r="T9" s="69" t="s">
        <v>96</v>
      </c>
      <c r="U9" s="63" t="s">
        <v>97</v>
      </c>
      <c r="V9" s="87">
        <v>46211.0</v>
      </c>
      <c r="W9" s="71">
        <v>22000.0</v>
      </c>
      <c r="X9" s="79">
        <v>46251.0</v>
      </c>
      <c r="Y9" s="9"/>
      <c r="Z9" s="73">
        <v>44000.0</v>
      </c>
      <c r="AA9" s="9"/>
      <c r="AB9" s="9"/>
      <c r="AC9" s="9"/>
      <c r="AD9" s="9"/>
      <c r="AE9" s="73">
        <v>44000.0</v>
      </c>
      <c r="AF9" s="8"/>
      <c r="AG9" s="8"/>
      <c r="AH9" s="8"/>
      <c r="AI9" s="8"/>
    </row>
    <row r="10">
      <c r="A10" s="60">
        <v>1009.0</v>
      </c>
      <c r="B10" s="81">
        <v>2.2602879E7</v>
      </c>
      <c r="C10" s="22"/>
      <c r="D10" s="61" t="s">
        <v>121</v>
      </c>
      <c r="E10" s="62">
        <v>9.029141087E9</v>
      </c>
      <c r="F10" s="63"/>
      <c r="G10" s="61" t="s">
        <v>18</v>
      </c>
      <c r="H10" s="62">
        <v>37500.0</v>
      </c>
      <c r="I10" s="62">
        <v>37500.0</v>
      </c>
      <c r="J10" s="65">
        <f t="shared" ref="J10:J15" si="4">H10-I10</f>
        <v>0</v>
      </c>
      <c r="K10" s="78"/>
      <c r="L10" s="66"/>
      <c r="M10" s="67" t="s">
        <v>104</v>
      </c>
      <c r="N10" s="67" t="s">
        <v>122</v>
      </c>
      <c r="O10" s="63"/>
      <c r="P10" s="88" t="s">
        <v>123</v>
      </c>
      <c r="Q10" s="88">
        <f t="shared" ref="Q10:Q11" si="5">H10-24000</f>
        <v>13500</v>
      </c>
      <c r="R10" s="63" t="s">
        <v>124</v>
      </c>
      <c r="S10" s="74">
        <v>46168.0</v>
      </c>
      <c r="T10" s="69" t="s">
        <v>96</v>
      </c>
      <c r="U10" s="63" t="s">
        <v>97</v>
      </c>
      <c r="V10" s="85">
        <v>46228.0</v>
      </c>
      <c r="W10" s="71">
        <v>14000.0</v>
      </c>
      <c r="X10" s="75">
        <v>46228.0</v>
      </c>
      <c r="Y10" s="8" t="s">
        <v>43</v>
      </c>
      <c r="Z10" s="73">
        <v>24000.0</v>
      </c>
      <c r="AA10" s="8"/>
      <c r="AB10" s="8"/>
      <c r="AC10" s="8"/>
      <c r="AD10" s="8"/>
      <c r="AE10" s="73">
        <v>24000.0</v>
      </c>
      <c r="AF10" s="8"/>
      <c r="AG10" s="8"/>
      <c r="AH10" s="8"/>
      <c r="AI10" s="8"/>
    </row>
    <row r="11">
      <c r="A11" s="60">
        <v>1010.0</v>
      </c>
      <c r="B11" s="81">
        <v>2.2602938E7</v>
      </c>
      <c r="C11" s="22"/>
      <c r="D11" s="61" t="s">
        <v>125</v>
      </c>
      <c r="E11" s="62">
        <v>7.715082665E9</v>
      </c>
      <c r="F11" s="63"/>
      <c r="G11" s="61" t="s">
        <v>18</v>
      </c>
      <c r="H11" s="62">
        <v>35000.0</v>
      </c>
      <c r="I11" s="62">
        <v>35000.0</v>
      </c>
      <c r="J11" s="65">
        <f t="shared" si="4"/>
        <v>0</v>
      </c>
      <c r="K11" s="78"/>
      <c r="L11" s="66"/>
      <c r="M11" s="67" t="s">
        <v>104</v>
      </c>
      <c r="N11" s="67" t="s">
        <v>122</v>
      </c>
      <c r="O11" s="63"/>
      <c r="P11" s="88" t="s">
        <v>123</v>
      </c>
      <c r="Q11" s="88">
        <f t="shared" si="5"/>
        <v>11000</v>
      </c>
      <c r="R11" s="63" t="s">
        <v>126</v>
      </c>
      <c r="S11" s="74">
        <v>46160.0</v>
      </c>
      <c r="T11" s="69" t="s">
        <v>96</v>
      </c>
      <c r="U11" s="63" t="s">
        <v>97</v>
      </c>
      <c r="V11" s="85">
        <v>46228.0</v>
      </c>
      <c r="W11" s="71">
        <v>14000.0</v>
      </c>
      <c r="X11" s="75">
        <v>46228.0</v>
      </c>
      <c r="Y11" s="8" t="s">
        <v>43</v>
      </c>
      <c r="Z11" s="73">
        <v>24000.0</v>
      </c>
      <c r="AA11" s="8"/>
      <c r="AB11" s="8"/>
      <c r="AC11" s="8"/>
      <c r="AD11" s="8"/>
      <c r="AE11" s="73">
        <v>24000.0</v>
      </c>
      <c r="AF11" s="8"/>
      <c r="AG11" s="8"/>
      <c r="AH11" s="8"/>
      <c r="AI11" s="8"/>
    </row>
    <row r="12">
      <c r="A12" s="60">
        <v>1011.0</v>
      </c>
      <c r="B12" s="81">
        <v>2.2603195E7</v>
      </c>
      <c r="C12" s="22"/>
      <c r="D12" s="61" t="s">
        <v>127</v>
      </c>
      <c r="E12" s="62">
        <v>9.699111523E9</v>
      </c>
      <c r="F12" s="63"/>
      <c r="G12" s="84" t="s">
        <v>115</v>
      </c>
      <c r="H12" s="62">
        <v>14000.0</v>
      </c>
      <c r="I12" s="62">
        <v>14000.0</v>
      </c>
      <c r="J12" s="65">
        <f t="shared" si="4"/>
        <v>0</v>
      </c>
      <c r="K12" s="78"/>
      <c r="L12" s="66"/>
      <c r="M12" s="67" t="s">
        <v>104</v>
      </c>
      <c r="N12" s="67" t="s">
        <v>122</v>
      </c>
      <c r="O12" s="63"/>
      <c r="P12" s="63"/>
      <c r="Q12" s="63"/>
      <c r="R12" s="63" t="s">
        <v>128</v>
      </c>
      <c r="S12" s="74">
        <v>46157.0</v>
      </c>
      <c r="T12" s="69" t="s">
        <v>96</v>
      </c>
      <c r="U12" s="63" t="s">
        <v>97</v>
      </c>
      <c r="V12" s="63"/>
      <c r="W12" s="71">
        <v>10000.0</v>
      </c>
      <c r="X12" s="85">
        <v>46232.0</v>
      </c>
      <c r="Y12" s="8" t="s">
        <v>43</v>
      </c>
      <c r="Z12" s="73">
        <v>14000.0</v>
      </c>
      <c r="AA12" s="8"/>
      <c r="AB12" s="8"/>
      <c r="AC12" s="8"/>
      <c r="AD12" s="8"/>
      <c r="AE12" s="73">
        <v>14000.0</v>
      </c>
      <c r="AF12" s="8"/>
      <c r="AG12" s="8"/>
      <c r="AH12" s="8"/>
      <c r="AI12" s="8"/>
    </row>
    <row r="13">
      <c r="A13" s="60">
        <v>1012.0</v>
      </c>
      <c r="B13" s="81">
        <v>2.2603194E7</v>
      </c>
      <c r="C13" s="22"/>
      <c r="D13" s="61" t="s">
        <v>129</v>
      </c>
      <c r="E13" s="62">
        <v>9.700432814E9</v>
      </c>
      <c r="F13" s="63"/>
      <c r="G13" s="61" t="s">
        <v>18</v>
      </c>
      <c r="H13" s="62">
        <v>35000.0</v>
      </c>
      <c r="I13" s="62">
        <v>35000.0</v>
      </c>
      <c r="J13" s="65">
        <f t="shared" si="4"/>
        <v>0</v>
      </c>
      <c r="K13" s="78"/>
      <c r="L13" s="66"/>
      <c r="M13" s="67" t="s">
        <v>104</v>
      </c>
      <c r="N13" s="67" t="s">
        <v>122</v>
      </c>
      <c r="O13" s="63"/>
      <c r="P13" s="88" t="s">
        <v>123</v>
      </c>
      <c r="Q13" s="88">
        <f>H13-24000</f>
        <v>11000</v>
      </c>
      <c r="R13" s="63" t="s">
        <v>130</v>
      </c>
      <c r="S13" s="74">
        <v>46132.0</v>
      </c>
      <c r="T13" s="69" t="s">
        <v>96</v>
      </c>
      <c r="U13" s="63" t="s">
        <v>97</v>
      </c>
      <c r="V13" s="85">
        <v>46228.0</v>
      </c>
      <c r="W13" s="71">
        <v>14000.0</v>
      </c>
      <c r="X13" s="75">
        <v>46228.0</v>
      </c>
      <c r="Y13" s="8" t="s">
        <v>43</v>
      </c>
      <c r="Z13" s="73">
        <v>24000.0</v>
      </c>
      <c r="AA13" s="8"/>
      <c r="AB13" s="8"/>
      <c r="AC13" s="8"/>
      <c r="AD13" s="8"/>
      <c r="AE13" s="73">
        <v>24000.0</v>
      </c>
      <c r="AF13" s="8"/>
      <c r="AG13" s="8"/>
      <c r="AH13" s="8"/>
      <c r="AI13" s="8"/>
    </row>
    <row r="14">
      <c r="A14" s="60">
        <v>1013.0</v>
      </c>
      <c r="B14" s="81">
        <v>2.2605489E7</v>
      </c>
      <c r="C14" s="22"/>
      <c r="D14" s="61" t="s">
        <v>131</v>
      </c>
      <c r="E14" s="61" t="s">
        <v>132</v>
      </c>
      <c r="F14" s="63"/>
      <c r="G14" s="89" t="s">
        <v>133</v>
      </c>
      <c r="H14" s="62">
        <v>14000.0</v>
      </c>
      <c r="I14" s="62">
        <v>12500.0</v>
      </c>
      <c r="J14" s="65">
        <f t="shared" si="4"/>
        <v>1500</v>
      </c>
      <c r="K14" s="78"/>
      <c r="L14" s="66"/>
      <c r="M14" s="67" t="s">
        <v>104</v>
      </c>
      <c r="N14" s="67" t="s">
        <v>122</v>
      </c>
      <c r="O14" s="63"/>
      <c r="P14" s="63"/>
      <c r="Q14" s="63"/>
      <c r="R14" s="63" t="s">
        <v>124</v>
      </c>
      <c r="S14" s="74">
        <v>46197.0</v>
      </c>
      <c r="T14" s="69" t="s">
        <v>96</v>
      </c>
      <c r="U14" s="63" t="s">
        <v>97</v>
      </c>
      <c r="V14" s="85">
        <v>46219.0</v>
      </c>
      <c r="W14" s="71">
        <v>9000.0</v>
      </c>
      <c r="X14" s="79">
        <v>46261.0</v>
      </c>
      <c r="Y14" s="8" t="s">
        <v>43</v>
      </c>
      <c r="Z14" s="73">
        <v>14000.0</v>
      </c>
      <c r="AA14" s="8"/>
      <c r="AB14" s="8"/>
      <c r="AC14" s="8"/>
      <c r="AD14" s="8"/>
      <c r="AE14" s="73">
        <v>14000.0</v>
      </c>
      <c r="AF14" s="8"/>
      <c r="AG14" s="8"/>
      <c r="AH14" s="8"/>
      <c r="AI14" s="8"/>
    </row>
    <row r="15">
      <c r="A15" s="60">
        <v>1014.0</v>
      </c>
      <c r="B15" s="81">
        <v>2.260536E7</v>
      </c>
      <c r="C15" s="22"/>
      <c r="D15" s="61" t="s">
        <v>134</v>
      </c>
      <c r="E15" s="62">
        <v>8.369840343E9</v>
      </c>
      <c r="F15" s="61" t="s">
        <v>135</v>
      </c>
      <c r="G15" s="61" t="s">
        <v>136</v>
      </c>
      <c r="H15" s="62">
        <v>24000.0</v>
      </c>
      <c r="I15" s="62">
        <v>24000.0</v>
      </c>
      <c r="J15" s="65">
        <f t="shared" si="4"/>
        <v>0</v>
      </c>
      <c r="K15" s="78"/>
      <c r="L15" s="66"/>
      <c r="M15" s="67" t="s">
        <v>104</v>
      </c>
      <c r="N15" s="67" t="s">
        <v>94</v>
      </c>
      <c r="O15" s="63"/>
      <c r="P15" s="63"/>
      <c r="Q15" s="63"/>
      <c r="R15" s="63" t="s">
        <v>44</v>
      </c>
      <c r="S15" s="74">
        <v>46203.0</v>
      </c>
      <c r="T15" s="69" t="s">
        <v>96</v>
      </c>
      <c r="U15" s="63" t="s">
        <v>137</v>
      </c>
      <c r="V15" s="87">
        <v>46211.0</v>
      </c>
      <c r="W15" s="71">
        <v>14000.0</v>
      </c>
      <c r="X15" s="79">
        <v>46261.0</v>
      </c>
      <c r="Y15" s="80" t="s">
        <v>102</v>
      </c>
      <c r="Z15" s="73">
        <v>24000.0</v>
      </c>
      <c r="AA15" s="8"/>
      <c r="AB15" s="8"/>
      <c r="AC15" s="8"/>
      <c r="AD15" s="8"/>
      <c r="AE15" s="73">
        <v>24000.0</v>
      </c>
      <c r="AF15" s="8"/>
      <c r="AG15" s="8"/>
      <c r="AH15" s="8"/>
      <c r="AI15" s="8"/>
    </row>
    <row r="16">
      <c r="A16" s="60">
        <v>1015.0</v>
      </c>
      <c r="B16" s="22"/>
      <c r="C16" s="22"/>
      <c r="D16" s="61" t="s">
        <v>138</v>
      </c>
      <c r="E16" s="62">
        <v>8.433530688E9</v>
      </c>
      <c r="F16" s="61" t="s">
        <v>139</v>
      </c>
      <c r="G16" s="61" t="s">
        <v>140</v>
      </c>
      <c r="H16" s="62">
        <v>45500.0</v>
      </c>
      <c r="I16" s="62">
        <v>23500.0</v>
      </c>
      <c r="J16" s="64">
        <v>0.0</v>
      </c>
      <c r="K16" s="65">
        <f>H16-I16</f>
        <v>22000</v>
      </c>
      <c r="L16" s="66"/>
      <c r="M16" s="67" t="s">
        <v>93</v>
      </c>
      <c r="N16" s="67" t="s">
        <v>94</v>
      </c>
      <c r="O16" s="63"/>
      <c r="P16" s="63"/>
      <c r="Q16" s="63"/>
      <c r="R16" s="63"/>
      <c r="S16" s="74">
        <v>46203.0</v>
      </c>
      <c r="T16" s="69" t="s">
        <v>96</v>
      </c>
      <c r="U16" s="63" t="s">
        <v>137</v>
      </c>
      <c r="V16" s="87">
        <v>46211.0</v>
      </c>
      <c r="W16" s="71">
        <v>22000.0</v>
      </c>
      <c r="X16" s="79">
        <v>46254.0</v>
      </c>
      <c r="Y16" s="8"/>
      <c r="Z16" s="73">
        <v>44000.0</v>
      </c>
      <c r="AA16" s="9"/>
      <c r="AB16" s="9"/>
      <c r="AC16" s="8"/>
      <c r="AD16" s="8"/>
      <c r="AE16" s="73">
        <v>44000.0</v>
      </c>
      <c r="AF16" s="8"/>
      <c r="AG16" s="8"/>
      <c r="AH16" s="8"/>
      <c r="AI16" s="8"/>
    </row>
    <row r="17">
      <c r="A17" s="60">
        <v>1016.0</v>
      </c>
      <c r="B17" s="81">
        <v>2.2602809E7</v>
      </c>
      <c r="C17" s="22"/>
      <c r="D17" s="61" t="s">
        <v>141</v>
      </c>
      <c r="E17" s="62">
        <v>9.324293992E9</v>
      </c>
      <c r="F17" s="63"/>
      <c r="G17" s="61" t="s">
        <v>18</v>
      </c>
      <c r="H17" s="62">
        <v>24000.0</v>
      </c>
      <c r="I17" s="62">
        <v>24000.0</v>
      </c>
      <c r="J17" s="65">
        <f>H17-I17</f>
        <v>0</v>
      </c>
      <c r="K17" s="78"/>
      <c r="L17" s="66"/>
      <c r="M17" s="67" t="s">
        <v>104</v>
      </c>
      <c r="N17" s="67" t="s">
        <v>122</v>
      </c>
      <c r="O17" s="63"/>
      <c r="P17" s="63"/>
      <c r="Q17" s="63"/>
      <c r="R17" s="63" t="s">
        <v>128</v>
      </c>
      <c r="S17" s="74">
        <v>46203.0</v>
      </c>
      <c r="T17" s="69" t="s">
        <v>96</v>
      </c>
      <c r="U17" s="63" t="s">
        <v>97</v>
      </c>
      <c r="V17" s="85">
        <v>46228.0</v>
      </c>
      <c r="W17" s="71">
        <v>14000.0</v>
      </c>
      <c r="X17" s="75">
        <v>46228.0</v>
      </c>
      <c r="Y17" s="80" t="s">
        <v>43</v>
      </c>
      <c r="Z17" s="73">
        <v>24000.0</v>
      </c>
      <c r="AA17" s="8"/>
      <c r="AB17" s="8"/>
      <c r="AC17" s="9"/>
      <c r="AD17" s="9"/>
      <c r="AE17" s="73">
        <v>24000.0</v>
      </c>
      <c r="AF17" s="8"/>
      <c r="AG17" s="8"/>
      <c r="AH17" s="8"/>
      <c r="AI17" s="8"/>
    </row>
    <row r="18">
      <c r="A18" s="60">
        <v>1017.0</v>
      </c>
      <c r="B18" s="9"/>
      <c r="C18" s="77"/>
      <c r="D18" s="61" t="s">
        <v>142</v>
      </c>
      <c r="E18" s="62">
        <v>7.208426079E9</v>
      </c>
      <c r="F18" s="61" t="s">
        <v>143</v>
      </c>
      <c r="G18" s="61" t="s">
        <v>144</v>
      </c>
      <c r="H18" s="62">
        <v>45500.0</v>
      </c>
      <c r="I18" s="62">
        <v>24000.0</v>
      </c>
      <c r="J18" s="64">
        <v>0.0</v>
      </c>
      <c r="K18" s="65">
        <f>H18-I18</f>
        <v>21500</v>
      </c>
      <c r="L18" s="66"/>
      <c r="M18" s="67" t="s">
        <v>93</v>
      </c>
      <c r="N18" s="67" t="s">
        <v>94</v>
      </c>
      <c r="O18" s="63"/>
      <c r="P18" s="63"/>
      <c r="Q18" s="63"/>
      <c r="R18" s="63"/>
      <c r="S18" s="74">
        <v>46203.0</v>
      </c>
      <c r="T18" s="69" t="s">
        <v>96</v>
      </c>
      <c r="U18" s="63" t="s">
        <v>97</v>
      </c>
      <c r="V18" s="87">
        <v>46254.0</v>
      </c>
      <c r="W18" s="71">
        <v>22000.0</v>
      </c>
      <c r="X18" s="87">
        <v>46254.0</v>
      </c>
      <c r="Y18" s="9"/>
      <c r="Z18" s="73">
        <v>44000.0</v>
      </c>
      <c r="AA18" s="9"/>
      <c r="AB18" s="9"/>
      <c r="AC18" s="9"/>
      <c r="AD18" s="9"/>
      <c r="AE18" s="73">
        <v>44000.0</v>
      </c>
      <c r="AF18" s="8"/>
      <c r="AG18" s="8"/>
      <c r="AH18" s="8"/>
      <c r="AI18" s="8"/>
    </row>
    <row r="19">
      <c r="A19" s="60">
        <v>1018.0</v>
      </c>
      <c r="B19" s="81">
        <v>2.2605334E7</v>
      </c>
      <c r="C19" s="22"/>
      <c r="D19" s="61" t="s">
        <v>145</v>
      </c>
      <c r="E19" s="62">
        <v>7.021183345E9</v>
      </c>
      <c r="F19" s="63"/>
      <c r="G19" s="61" t="s">
        <v>37</v>
      </c>
      <c r="H19" s="62">
        <v>22000.0</v>
      </c>
      <c r="I19" s="62">
        <v>22000.0</v>
      </c>
      <c r="J19" s="65">
        <f t="shared" ref="J19:J20" si="6">H19-I19</f>
        <v>0</v>
      </c>
      <c r="K19" s="78"/>
      <c r="L19" s="66"/>
      <c r="M19" s="67" t="s">
        <v>104</v>
      </c>
      <c r="N19" s="67" t="s">
        <v>122</v>
      </c>
      <c r="O19" s="63"/>
      <c r="P19" s="63"/>
      <c r="Q19" s="63"/>
      <c r="R19" s="63" t="s">
        <v>128</v>
      </c>
      <c r="S19" s="74">
        <v>46206.0</v>
      </c>
      <c r="T19" s="69" t="s">
        <v>96</v>
      </c>
      <c r="U19" s="63" t="s">
        <v>97</v>
      </c>
      <c r="V19" s="63"/>
      <c r="W19" s="71">
        <v>13000.0</v>
      </c>
      <c r="X19" s="79">
        <v>46252.0</v>
      </c>
      <c r="Y19" s="80" t="s">
        <v>43</v>
      </c>
      <c r="Z19" s="73">
        <v>22000.0</v>
      </c>
      <c r="AA19" s="9"/>
      <c r="AB19" s="9"/>
      <c r="AC19" s="9"/>
      <c r="AD19" s="9"/>
      <c r="AE19" s="73">
        <v>22000.0</v>
      </c>
      <c r="AF19" s="8"/>
      <c r="AG19" s="8"/>
      <c r="AH19" s="8"/>
      <c r="AI19" s="8"/>
    </row>
    <row r="20">
      <c r="A20" s="60">
        <v>1020.0</v>
      </c>
      <c r="B20" s="81">
        <v>2.260487E7</v>
      </c>
      <c r="C20" s="22"/>
      <c r="D20" s="61" t="s">
        <v>146</v>
      </c>
      <c r="E20" s="62">
        <v>8.452951839E9</v>
      </c>
      <c r="F20" s="63"/>
      <c r="G20" s="61" t="s">
        <v>37</v>
      </c>
      <c r="H20" s="62">
        <v>22000.0</v>
      </c>
      <c r="I20" s="62">
        <v>22000.0</v>
      </c>
      <c r="J20" s="65">
        <f t="shared" si="6"/>
        <v>0</v>
      </c>
      <c r="K20" s="78"/>
      <c r="L20" s="90" t="s">
        <v>147</v>
      </c>
      <c r="M20" s="67" t="s">
        <v>104</v>
      </c>
      <c r="N20" s="67" t="s">
        <v>122</v>
      </c>
      <c r="O20" s="63"/>
      <c r="P20" s="63"/>
      <c r="Q20" s="63"/>
      <c r="R20" s="63" t="s">
        <v>128</v>
      </c>
      <c r="S20" s="74">
        <v>46206.0</v>
      </c>
      <c r="T20" s="69" t="s">
        <v>96</v>
      </c>
      <c r="U20" s="63" t="s">
        <v>97</v>
      </c>
      <c r="V20" s="63"/>
      <c r="W20" s="71">
        <v>13000.0</v>
      </c>
      <c r="X20" s="79">
        <v>46252.0</v>
      </c>
      <c r="Y20" s="80" t="s">
        <v>43</v>
      </c>
      <c r="Z20" s="73">
        <v>22000.0</v>
      </c>
      <c r="AA20" s="9"/>
      <c r="AB20" s="9"/>
      <c r="AC20" s="9"/>
      <c r="AD20" s="9"/>
      <c r="AE20" s="73">
        <v>22000.0</v>
      </c>
      <c r="AF20" s="9"/>
      <c r="AG20" s="9"/>
      <c r="AH20" s="9"/>
      <c r="AI20" s="9"/>
    </row>
    <row r="21">
      <c r="A21" s="60">
        <v>1021.0</v>
      </c>
      <c r="B21" s="22"/>
      <c r="C21" s="22"/>
      <c r="D21" s="61" t="s">
        <v>148</v>
      </c>
      <c r="E21" s="62">
        <v>9.004804623E9</v>
      </c>
      <c r="F21" s="63"/>
      <c r="G21" s="61" t="s">
        <v>18</v>
      </c>
      <c r="H21" s="62">
        <v>45500.0</v>
      </c>
      <c r="I21" s="62">
        <v>22000.0</v>
      </c>
      <c r="J21" s="64">
        <v>0.0</v>
      </c>
      <c r="K21" s="65">
        <f t="shared" ref="K21:K22" si="7">H21-I21</f>
        <v>23500</v>
      </c>
      <c r="L21" s="66"/>
      <c r="M21" s="67" t="s">
        <v>93</v>
      </c>
      <c r="N21" s="67" t="s">
        <v>149</v>
      </c>
      <c r="O21" s="63"/>
      <c r="P21" s="63"/>
      <c r="Q21" s="63"/>
      <c r="R21" s="63" t="s">
        <v>128</v>
      </c>
      <c r="S21" s="74">
        <v>46193.0</v>
      </c>
      <c r="T21" s="69" t="s">
        <v>96</v>
      </c>
      <c r="U21" s="63" t="s">
        <v>97</v>
      </c>
      <c r="V21" s="91"/>
      <c r="W21" s="71">
        <v>22000.0</v>
      </c>
      <c r="X21" s="79">
        <v>46251.0</v>
      </c>
      <c r="Y21" s="9"/>
      <c r="Z21" s="73">
        <v>44000.0</v>
      </c>
      <c r="AA21" s="9"/>
      <c r="AB21" s="9"/>
      <c r="AC21" s="9"/>
      <c r="AD21" s="9"/>
      <c r="AE21" s="73">
        <v>44000.0</v>
      </c>
      <c r="AF21" s="9"/>
      <c r="AG21" s="9"/>
      <c r="AH21" s="9"/>
      <c r="AI21" s="9"/>
    </row>
    <row r="22">
      <c r="A22" s="60">
        <v>1022.0</v>
      </c>
      <c r="B22" s="22"/>
      <c r="C22" s="22"/>
      <c r="D22" s="61" t="s">
        <v>150</v>
      </c>
      <c r="E22" s="62">
        <v>7.977582524E9</v>
      </c>
      <c r="F22" s="61" t="s">
        <v>151</v>
      </c>
      <c r="G22" s="61" t="s">
        <v>18</v>
      </c>
      <c r="H22" s="62">
        <v>45500.0</v>
      </c>
      <c r="I22" s="92">
        <v>22000.0</v>
      </c>
      <c r="J22" s="64">
        <v>0.0</v>
      </c>
      <c r="K22" s="65">
        <f t="shared" si="7"/>
        <v>23500</v>
      </c>
      <c r="L22" s="66"/>
      <c r="M22" s="67" t="s">
        <v>93</v>
      </c>
      <c r="N22" s="67" t="s">
        <v>152</v>
      </c>
      <c r="O22" s="63"/>
      <c r="P22" s="63"/>
      <c r="Q22" s="63"/>
      <c r="R22" s="63" t="s">
        <v>105</v>
      </c>
      <c r="S22" s="74">
        <v>46167.0</v>
      </c>
      <c r="T22" s="69" t="s">
        <v>96</v>
      </c>
      <c r="U22" s="63" t="s">
        <v>97</v>
      </c>
      <c r="V22" s="93">
        <v>46281.0</v>
      </c>
      <c r="W22" s="71">
        <v>22000.0</v>
      </c>
      <c r="X22" s="63" t="s">
        <v>153</v>
      </c>
      <c r="Y22" s="9"/>
      <c r="Z22" s="73">
        <v>44000.0</v>
      </c>
      <c r="AA22" s="9"/>
      <c r="AB22" s="9"/>
      <c r="AC22" s="9"/>
      <c r="AD22" s="9"/>
      <c r="AE22" s="73">
        <v>44000.0</v>
      </c>
      <c r="AF22" s="9"/>
      <c r="AG22" s="9"/>
      <c r="AH22" s="9"/>
      <c r="AI22" s="9"/>
    </row>
    <row r="23">
      <c r="A23" s="60">
        <v>1023.0</v>
      </c>
      <c r="B23" s="81">
        <v>2.2602794E7</v>
      </c>
      <c r="C23" s="22"/>
      <c r="D23" s="61" t="s">
        <v>154</v>
      </c>
      <c r="E23" s="94">
        <v>8.928254502E9</v>
      </c>
      <c r="F23" s="70"/>
      <c r="G23" s="61" t="s">
        <v>18</v>
      </c>
      <c r="H23" s="62">
        <v>24000.0</v>
      </c>
      <c r="I23" s="62">
        <v>24000.0</v>
      </c>
      <c r="J23" s="65">
        <f>H23-I23</f>
        <v>0</v>
      </c>
      <c r="K23" s="78"/>
      <c r="L23" s="66"/>
      <c r="M23" s="67" t="s">
        <v>104</v>
      </c>
      <c r="N23" s="67" t="s">
        <v>94</v>
      </c>
      <c r="O23" s="63"/>
      <c r="P23" s="63"/>
      <c r="Q23" s="63"/>
      <c r="R23" s="63" t="s">
        <v>105</v>
      </c>
      <c r="S23" s="68">
        <v>46084.0</v>
      </c>
      <c r="T23" s="69" t="s">
        <v>96</v>
      </c>
      <c r="U23" s="63" t="s">
        <v>97</v>
      </c>
      <c r="V23" s="85">
        <v>46228.0</v>
      </c>
      <c r="W23" s="71">
        <v>14000.0</v>
      </c>
      <c r="X23" s="75">
        <v>46228.0</v>
      </c>
      <c r="Y23" s="8" t="s">
        <v>43</v>
      </c>
      <c r="Z23" s="73">
        <v>24000.0</v>
      </c>
      <c r="AA23" s="8"/>
      <c r="AB23" s="8"/>
      <c r="AC23" s="8"/>
      <c r="AD23" s="8"/>
      <c r="AE23" s="73">
        <v>24000.0</v>
      </c>
      <c r="AF23" s="8"/>
      <c r="AG23" s="8"/>
      <c r="AH23" s="8"/>
      <c r="AI23" s="8"/>
    </row>
    <row r="24">
      <c r="A24" s="95">
        <v>1024.0</v>
      </c>
      <c r="B24" s="22"/>
      <c r="C24" s="22"/>
      <c r="D24" s="96" t="s">
        <v>155</v>
      </c>
      <c r="E24" s="97">
        <v>7.977215934E9</v>
      </c>
      <c r="F24" s="98" t="s">
        <v>156</v>
      </c>
      <c r="G24" s="61" t="s">
        <v>136</v>
      </c>
      <c r="H24" s="62">
        <v>45500.0</v>
      </c>
      <c r="I24" s="62">
        <v>23500.0</v>
      </c>
      <c r="J24" s="64">
        <v>0.0</v>
      </c>
      <c r="K24" s="65">
        <f>H24-I24</f>
        <v>22000</v>
      </c>
      <c r="L24" s="66"/>
      <c r="M24" s="67" t="s">
        <v>93</v>
      </c>
      <c r="N24" s="67" t="s">
        <v>94</v>
      </c>
      <c r="O24" s="63"/>
      <c r="P24" s="63"/>
      <c r="Q24" s="63"/>
      <c r="R24" s="63" t="s">
        <v>157</v>
      </c>
      <c r="S24" s="74">
        <v>46184.0</v>
      </c>
      <c r="T24" s="69" t="s">
        <v>96</v>
      </c>
      <c r="U24" s="63" t="s">
        <v>97</v>
      </c>
      <c r="V24" s="85">
        <v>46267.0</v>
      </c>
      <c r="W24" s="71">
        <v>22000.0</v>
      </c>
      <c r="X24" s="63" t="s">
        <v>158</v>
      </c>
      <c r="Y24" s="9"/>
      <c r="Z24" s="73">
        <v>44000.0</v>
      </c>
      <c r="AA24" s="9"/>
      <c r="AB24" s="9"/>
      <c r="AC24" s="9"/>
      <c r="AD24" s="9"/>
      <c r="AE24" s="73">
        <v>44000.0</v>
      </c>
      <c r="AF24" s="9"/>
      <c r="AG24" s="9"/>
      <c r="AH24" s="9"/>
      <c r="AI24" s="9"/>
    </row>
    <row r="25">
      <c r="A25" s="95">
        <v>1025.0</v>
      </c>
      <c r="B25" s="81">
        <v>2.2605389E7</v>
      </c>
      <c r="C25" s="22"/>
      <c r="D25" s="63" t="s">
        <v>159</v>
      </c>
      <c r="E25" s="94">
        <v>8.657182679E9</v>
      </c>
      <c r="F25" s="70"/>
      <c r="G25" s="63" t="s">
        <v>136</v>
      </c>
      <c r="H25" s="71">
        <v>24000.0</v>
      </c>
      <c r="I25" s="71">
        <v>24000.0</v>
      </c>
      <c r="J25" s="65">
        <f t="shared" ref="J25:J28" si="8">H25-I25</f>
        <v>0</v>
      </c>
      <c r="K25" s="78"/>
      <c r="L25" s="66"/>
      <c r="M25" s="67" t="s">
        <v>104</v>
      </c>
      <c r="N25" s="67" t="s">
        <v>94</v>
      </c>
      <c r="O25" s="63"/>
      <c r="P25" s="63"/>
      <c r="Q25" s="63"/>
      <c r="R25" s="63" t="s">
        <v>95</v>
      </c>
      <c r="S25" s="74">
        <v>46204.0</v>
      </c>
      <c r="T25" s="69" t="s">
        <v>96</v>
      </c>
      <c r="U25" s="63" t="s">
        <v>97</v>
      </c>
      <c r="V25" s="63"/>
      <c r="W25" s="71">
        <v>14000.0</v>
      </c>
      <c r="X25" s="79">
        <v>46261.0</v>
      </c>
      <c r="Y25" s="80" t="s">
        <v>43</v>
      </c>
      <c r="Z25" s="40">
        <v>24000.0</v>
      </c>
      <c r="AA25" s="8"/>
      <c r="AB25" s="8"/>
      <c r="AC25" s="8"/>
      <c r="AD25" s="8"/>
      <c r="AE25" s="40">
        <v>24000.0</v>
      </c>
      <c r="AF25" s="8"/>
      <c r="AG25" s="8"/>
      <c r="AH25" s="8"/>
      <c r="AI25" s="8"/>
    </row>
    <row r="26">
      <c r="A26" s="95">
        <v>1026.0</v>
      </c>
      <c r="B26" s="76">
        <v>2.260243E7</v>
      </c>
      <c r="C26" s="22"/>
      <c r="D26" s="63" t="s">
        <v>160</v>
      </c>
      <c r="E26" s="71" t="s">
        <v>161</v>
      </c>
      <c r="F26" s="63"/>
      <c r="G26" s="63" t="s">
        <v>18</v>
      </c>
      <c r="H26" s="71">
        <v>24000.0</v>
      </c>
      <c r="I26" s="71">
        <v>24000.0</v>
      </c>
      <c r="J26" s="65">
        <f t="shared" si="8"/>
        <v>0</v>
      </c>
      <c r="K26" s="78"/>
      <c r="L26" s="90" t="s">
        <v>162</v>
      </c>
      <c r="M26" s="67" t="s">
        <v>104</v>
      </c>
      <c r="N26" s="67" t="s">
        <v>94</v>
      </c>
      <c r="O26" s="63"/>
      <c r="P26" s="63"/>
      <c r="Q26" s="63"/>
      <c r="R26" s="63" t="s">
        <v>163</v>
      </c>
      <c r="S26" s="63"/>
      <c r="T26" s="69" t="s">
        <v>96</v>
      </c>
      <c r="U26" s="63" t="s">
        <v>97</v>
      </c>
      <c r="V26" s="85">
        <v>46219.0</v>
      </c>
      <c r="W26" s="71">
        <v>14000.0</v>
      </c>
      <c r="X26" s="75">
        <v>46220.0</v>
      </c>
      <c r="Y26" s="8" t="s">
        <v>164</v>
      </c>
      <c r="Z26" s="40">
        <v>24000.0</v>
      </c>
      <c r="AA26" s="9"/>
      <c r="AB26" s="9"/>
      <c r="AC26" s="9"/>
      <c r="AD26" s="9"/>
      <c r="AE26" s="40">
        <v>24000.0</v>
      </c>
      <c r="AF26" s="9"/>
      <c r="AG26" s="9"/>
      <c r="AH26" s="9"/>
      <c r="AI26" s="9"/>
    </row>
    <row r="27">
      <c r="A27" s="95">
        <v>1027.0</v>
      </c>
      <c r="B27" s="81">
        <v>2.2604009E7</v>
      </c>
      <c r="C27" s="22"/>
      <c r="D27" s="63" t="s">
        <v>165</v>
      </c>
      <c r="E27" s="71">
        <v>9.967937819E9</v>
      </c>
      <c r="F27" s="63"/>
      <c r="G27" s="63" t="s">
        <v>166</v>
      </c>
      <c r="H27" s="71">
        <v>15000.0</v>
      </c>
      <c r="I27" s="71">
        <v>10000.0</v>
      </c>
      <c r="J27" s="65">
        <f t="shared" si="8"/>
        <v>5000</v>
      </c>
      <c r="K27" s="78"/>
      <c r="L27" s="66"/>
      <c r="M27" s="67" t="s">
        <v>104</v>
      </c>
      <c r="N27" s="67" t="s">
        <v>122</v>
      </c>
      <c r="O27" s="63"/>
      <c r="P27" s="63"/>
      <c r="Q27" s="63"/>
      <c r="R27" s="63" t="s">
        <v>105</v>
      </c>
      <c r="S27" s="99">
        <v>46216.0</v>
      </c>
      <c r="T27" s="69" t="s">
        <v>96</v>
      </c>
      <c r="U27" s="63" t="s">
        <v>97</v>
      </c>
      <c r="V27" s="63"/>
      <c r="W27" s="71">
        <v>10000.0</v>
      </c>
      <c r="X27" s="63"/>
      <c r="Y27" s="80" t="s">
        <v>43</v>
      </c>
      <c r="Z27" s="34" t="s">
        <v>167</v>
      </c>
      <c r="AA27" s="9"/>
      <c r="AB27" s="9"/>
      <c r="AC27" s="9"/>
      <c r="AD27" s="9"/>
      <c r="AE27" s="34" t="s">
        <v>167</v>
      </c>
      <c r="AF27" s="9"/>
      <c r="AG27" s="9"/>
      <c r="AH27" s="9"/>
      <c r="AI27" s="9"/>
    </row>
    <row r="28">
      <c r="A28" s="95">
        <v>1028.0</v>
      </c>
      <c r="B28" s="81">
        <v>2.2602806E7</v>
      </c>
      <c r="C28" s="22"/>
      <c r="D28" s="63" t="s">
        <v>168</v>
      </c>
      <c r="E28" s="71">
        <v>8.433905751E9</v>
      </c>
      <c r="F28" s="63"/>
      <c r="G28" s="63" t="s">
        <v>18</v>
      </c>
      <c r="H28" s="71">
        <v>24000.0</v>
      </c>
      <c r="I28" s="71">
        <v>24000.0</v>
      </c>
      <c r="J28" s="65">
        <f t="shared" si="8"/>
        <v>0</v>
      </c>
      <c r="K28" s="78"/>
      <c r="L28" s="66"/>
      <c r="M28" s="67" t="s">
        <v>104</v>
      </c>
      <c r="N28" s="67" t="s">
        <v>122</v>
      </c>
      <c r="O28" s="63"/>
      <c r="P28" s="63"/>
      <c r="Q28" s="63"/>
      <c r="R28" s="63" t="s">
        <v>128</v>
      </c>
      <c r="S28" s="99">
        <v>46217.0</v>
      </c>
      <c r="T28" s="69" t="s">
        <v>96</v>
      </c>
      <c r="U28" s="63" t="s">
        <v>97</v>
      </c>
      <c r="V28" s="85">
        <v>46228.0</v>
      </c>
      <c r="W28" s="71">
        <v>14000.0</v>
      </c>
      <c r="X28" s="75">
        <v>46228.0</v>
      </c>
      <c r="Y28" s="8" t="s">
        <v>164</v>
      </c>
      <c r="Z28" s="40">
        <v>24000.0</v>
      </c>
      <c r="AA28" s="8"/>
      <c r="AB28" s="8"/>
      <c r="AC28" s="8"/>
      <c r="AD28" s="8"/>
      <c r="AE28" s="40">
        <v>24000.0</v>
      </c>
      <c r="AF28" s="8"/>
      <c r="AG28" s="8"/>
      <c r="AH28" s="8"/>
      <c r="AI28" s="8"/>
    </row>
    <row r="29">
      <c r="A29" s="95">
        <v>1029.0</v>
      </c>
      <c r="B29" s="22"/>
      <c r="C29" s="22"/>
      <c r="D29" s="63" t="s">
        <v>169</v>
      </c>
      <c r="E29" s="71">
        <v>9.168648647E9</v>
      </c>
      <c r="F29" s="63"/>
      <c r="G29" s="63" t="s">
        <v>18</v>
      </c>
      <c r="H29" s="62">
        <v>58400.0</v>
      </c>
      <c r="I29" s="71">
        <v>22500.0</v>
      </c>
      <c r="J29" s="64">
        <v>0.0</v>
      </c>
      <c r="K29" s="65">
        <f>H29-I29</f>
        <v>35900</v>
      </c>
      <c r="L29" s="66"/>
      <c r="M29" s="67" t="s">
        <v>99</v>
      </c>
      <c r="N29" s="67" t="s">
        <v>149</v>
      </c>
      <c r="O29" s="63"/>
      <c r="P29" s="63"/>
      <c r="Q29" s="63"/>
      <c r="R29" s="63" t="s">
        <v>95</v>
      </c>
      <c r="S29" s="99">
        <v>46214.0</v>
      </c>
      <c r="T29" s="69" t="s">
        <v>96</v>
      </c>
      <c r="U29" s="63" t="s">
        <v>97</v>
      </c>
      <c r="V29" s="85">
        <v>46219.0</v>
      </c>
      <c r="W29" s="71">
        <v>19340.0</v>
      </c>
      <c r="X29" s="75">
        <v>46219.0</v>
      </c>
      <c r="Y29" s="9"/>
      <c r="Z29" s="73">
        <v>58400.0</v>
      </c>
      <c r="AA29" s="9"/>
      <c r="AB29" s="9"/>
      <c r="AC29" s="9"/>
      <c r="AD29" s="9"/>
      <c r="AE29" s="73">
        <v>58400.0</v>
      </c>
      <c r="AF29" s="9"/>
      <c r="AG29" s="9"/>
      <c r="AH29" s="9"/>
      <c r="AI29" s="9"/>
    </row>
    <row r="30">
      <c r="A30" s="95">
        <v>1030.0</v>
      </c>
      <c r="B30" s="22"/>
      <c r="C30" s="22"/>
      <c r="D30" s="63" t="s">
        <v>170</v>
      </c>
      <c r="E30" s="71">
        <v>7.715997103E9</v>
      </c>
      <c r="F30" s="63" t="s">
        <v>171</v>
      </c>
      <c r="G30" s="100" t="s">
        <v>172</v>
      </c>
      <c r="H30" s="71">
        <v>14000.0</v>
      </c>
      <c r="I30" s="71">
        <v>7000.0</v>
      </c>
      <c r="J30" s="65">
        <f t="shared" ref="J30:J39" si="9">H30-I30</f>
        <v>7000</v>
      </c>
      <c r="K30" s="78"/>
      <c r="L30" s="66"/>
      <c r="M30" s="67" t="s">
        <v>104</v>
      </c>
      <c r="N30" s="67" t="s">
        <v>94</v>
      </c>
      <c r="O30" s="63"/>
      <c r="P30" s="63"/>
      <c r="Q30" s="63"/>
      <c r="R30" s="63" t="s">
        <v>173</v>
      </c>
      <c r="S30" s="99">
        <v>46227.0</v>
      </c>
      <c r="T30" s="69" t="s">
        <v>96</v>
      </c>
      <c r="U30" s="63" t="s">
        <v>97</v>
      </c>
      <c r="V30" s="63"/>
      <c r="W30" s="71">
        <v>9000.0</v>
      </c>
      <c r="X30" s="79">
        <v>46261.0</v>
      </c>
      <c r="Y30" s="9"/>
      <c r="Z30" s="40">
        <v>14000.0</v>
      </c>
      <c r="AA30" s="9"/>
      <c r="AB30" s="9"/>
      <c r="AC30" s="9"/>
      <c r="AD30" s="9"/>
      <c r="AE30" s="40">
        <v>14000.0</v>
      </c>
      <c r="AF30" s="9"/>
      <c r="AG30" s="9"/>
      <c r="AH30" s="9"/>
      <c r="AI30" s="9"/>
    </row>
    <row r="31">
      <c r="A31" s="95">
        <v>1031.0</v>
      </c>
      <c r="B31" s="81">
        <v>2.2606047E7</v>
      </c>
      <c r="C31" s="22"/>
      <c r="D31" s="63" t="s">
        <v>174</v>
      </c>
      <c r="E31" s="71">
        <v>9.768601467E9</v>
      </c>
      <c r="F31" s="63" t="s">
        <v>175</v>
      </c>
      <c r="G31" s="63" t="s">
        <v>136</v>
      </c>
      <c r="H31" s="71">
        <v>24000.0</v>
      </c>
      <c r="I31" s="71">
        <v>14000.0</v>
      </c>
      <c r="J31" s="65">
        <f t="shared" si="9"/>
        <v>10000</v>
      </c>
      <c r="K31" s="78"/>
      <c r="L31" s="66"/>
      <c r="M31" s="67" t="s">
        <v>104</v>
      </c>
      <c r="N31" s="67" t="s">
        <v>94</v>
      </c>
      <c r="O31" s="63"/>
      <c r="P31" s="63"/>
      <c r="Q31" s="63"/>
      <c r="R31" s="63" t="s">
        <v>95</v>
      </c>
      <c r="S31" s="101">
        <v>46230.0</v>
      </c>
      <c r="T31" s="69" t="s">
        <v>96</v>
      </c>
      <c r="U31" s="63" t="s">
        <v>97</v>
      </c>
      <c r="V31" s="63"/>
      <c r="W31" s="71">
        <v>14000.0</v>
      </c>
      <c r="X31" s="85">
        <v>46267.0</v>
      </c>
      <c r="Y31" s="80" t="s">
        <v>43</v>
      </c>
      <c r="Z31" s="40">
        <v>24000.0</v>
      </c>
      <c r="AA31" s="9"/>
      <c r="AB31" s="9"/>
      <c r="AC31" s="9"/>
      <c r="AD31" s="9"/>
      <c r="AE31" s="40">
        <v>24000.0</v>
      </c>
      <c r="AF31" s="9"/>
      <c r="AG31" s="9"/>
      <c r="AH31" s="9"/>
      <c r="AI31" s="9"/>
    </row>
    <row r="32">
      <c r="A32" s="95">
        <v>1032.0</v>
      </c>
      <c r="B32" s="95">
        <v>2.2605381E7</v>
      </c>
      <c r="C32" s="9"/>
      <c r="D32" s="70" t="s">
        <v>176</v>
      </c>
      <c r="E32" s="102">
        <v>8.369362446E9</v>
      </c>
      <c r="F32" s="63" t="s">
        <v>177</v>
      </c>
      <c r="G32" s="63" t="s">
        <v>178</v>
      </c>
      <c r="H32" s="71">
        <v>14000.0</v>
      </c>
      <c r="I32" s="71">
        <v>7000.0</v>
      </c>
      <c r="J32" s="65">
        <f t="shared" si="9"/>
        <v>7000</v>
      </c>
      <c r="K32" s="78"/>
      <c r="L32" s="66"/>
      <c r="M32" s="67" t="s">
        <v>104</v>
      </c>
      <c r="N32" s="67" t="s">
        <v>94</v>
      </c>
      <c r="O32" s="63"/>
      <c r="P32" s="63"/>
      <c r="Q32" s="63"/>
      <c r="R32" s="63" t="s">
        <v>179</v>
      </c>
      <c r="S32" s="103">
        <v>46237.0</v>
      </c>
      <c r="T32" s="69" t="s">
        <v>96</v>
      </c>
      <c r="U32" s="63" t="s">
        <v>97</v>
      </c>
      <c r="V32" s="63"/>
      <c r="W32" s="71">
        <v>10000.0</v>
      </c>
      <c r="X32" s="79">
        <v>46261.0</v>
      </c>
      <c r="Y32" s="80" t="s">
        <v>43</v>
      </c>
      <c r="Z32" s="40">
        <v>14000.0</v>
      </c>
      <c r="AA32" s="9"/>
      <c r="AB32" s="9"/>
      <c r="AC32" s="9"/>
      <c r="AD32" s="9"/>
      <c r="AE32" s="40">
        <v>14000.0</v>
      </c>
      <c r="AF32" s="9"/>
      <c r="AG32" s="9"/>
      <c r="AH32" s="9"/>
      <c r="AI32" s="9"/>
    </row>
    <row r="33">
      <c r="A33" s="95">
        <v>1033.0</v>
      </c>
      <c r="B33" s="81">
        <v>2.2605882E7</v>
      </c>
      <c r="C33" s="22"/>
      <c r="D33" s="63" t="s">
        <v>180</v>
      </c>
      <c r="E33" s="71">
        <v>8.779655899E9</v>
      </c>
      <c r="F33" s="63" t="s">
        <v>181</v>
      </c>
      <c r="G33" s="63" t="s">
        <v>182</v>
      </c>
      <c r="H33" s="71">
        <v>14000.0</v>
      </c>
      <c r="I33" s="71">
        <v>14000.0</v>
      </c>
      <c r="J33" s="65">
        <f t="shared" si="9"/>
        <v>0</v>
      </c>
      <c r="K33" s="78"/>
      <c r="L33" s="66"/>
      <c r="M33" s="67" t="s">
        <v>104</v>
      </c>
      <c r="N33" s="67" t="s">
        <v>94</v>
      </c>
      <c r="O33" s="63"/>
      <c r="P33" s="63"/>
      <c r="Q33" s="63"/>
      <c r="R33" s="63" t="s">
        <v>173</v>
      </c>
      <c r="S33" s="63"/>
      <c r="T33" s="69" t="s">
        <v>96</v>
      </c>
      <c r="U33" s="63"/>
      <c r="V33" s="63"/>
      <c r="W33" s="71">
        <v>10000.0</v>
      </c>
      <c r="X33" s="85">
        <v>46267.0</v>
      </c>
      <c r="Y33" s="80" t="s">
        <v>43</v>
      </c>
      <c r="Z33" s="40">
        <v>14000.0</v>
      </c>
      <c r="AA33" s="9"/>
      <c r="AB33" s="9"/>
      <c r="AC33" s="9"/>
      <c r="AD33" s="9"/>
      <c r="AE33" s="40">
        <v>14000.0</v>
      </c>
      <c r="AF33" s="9"/>
      <c r="AG33" s="9"/>
      <c r="AH33" s="9"/>
      <c r="AI33" s="9"/>
    </row>
    <row r="34">
      <c r="A34" s="95">
        <v>1034.0</v>
      </c>
      <c r="B34" s="76">
        <v>2.2608005E7</v>
      </c>
      <c r="C34" s="77"/>
      <c r="D34" s="63" t="s">
        <v>183</v>
      </c>
      <c r="E34" s="71">
        <v>7.71586595E9</v>
      </c>
      <c r="F34" s="63" t="s">
        <v>184</v>
      </c>
      <c r="G34" s="63" t="s">
        <v>185</v>
      </c>
      <c r="H34" s="71">
        <v>15000.0</v>
      </c>
      <c r="I34" s="71">
        <v>15000.0</v>
      </c>
      <c r="J34" s="65">
        <f t="shared" si="9"/>
        <v>0</v>
      </c>
      <c r="K34" s="78"/>
      <c r="L34" s="66"/>
      <c r="M34" s="67" t="s">
        <v>104</v>
      </c>
      <c r="N34" s="67" t="s">
        <v>186</v>
      </c>
      <c r="O34" s="63"/>
      <c r="P34" s="63"/>
      <c r="Q34" s="63"/>
      <c r="R34" s="63" t="s">
        <v>187</v>
      </c>
      <c r="S34" s="63"/>
      <c r="T34" s="69" t="s">
        <v>96</v>
      </c>
      <c r="U34" s="63"/>
      <c r="V34" s="63"/>
      <c r="W34" s="71">
        <v>10000.0</v>
      </c>
      <c r="X34" s="85">
        <v>46267.0</v>
      </c>
      <c r="Y34" s="9"/>
      <c r="Z34" s="40">
        <v>15000.0</v>
      </c>
      <c r="AA34" s="9"/>
      <c r="AB34" s="9"/>
      <c r="AC34" s="9"/>
      <c r="AD34" s="9"/>
      <c r="AE34" s="40">
        <v>15000.0</v>
      </c>
      <c r="AF34" s="9"/>
      <c r="AG34" s="9"/>
      <c r="AH34" s="9"/>
      <c r="AI34" s="9"/>
    </row>
    <row r="35">
      <c r="A35" s="95">
        <v>1035.0</v>
      </c>
      <c r="B35" s="81">
        <v>2.2606366E7</v>
      </c>
      <c r="C35" s="22"/>
      <c r="D35" s="63" t="s">
        <v>188</v>
      </c>
      <c r="E35" s="71">
        <v>8.591101947E9</v>
      </c>
      <c r="F35" s="63" t="s">
        <v>189</v>
      </c>
      <c r="G35" s="63" t="s">
        <v>190</v>
      </c>
      <c r="H35" s="71">
        <v>22000.0</v>
      </c>
      <c r="I35" s="71">
        <v>18000.0</v>
      </c>
      <c r="J35" s="65">
        <f t="shared" si="9"/>
        <v>4000</v>
      </c>
      <c r="K35" s="78"/>
      <c r="L35" s="90" t="s">
        <v>191</v>
      </c>
      <c r="M35" s="67" t="s">
        <v>104</v>
      </c>
      <c r="N35" s="67" t="s">
        <v>94</v>
      </c>
      <c r="O35" s="63"/>
      <c r="P35" s="63"/>
      <c r="Q35" s="63"/>
      <c r="R35" s="63" t="s">
        <v>173</v>
      </c>
      <c r="S35" s="63"/>
      <c r="T35" s="69" t="s">
        <v>96</v>
      </c>
      <c r="U35" s="63"/>
      <c r="V35" s="63"/>
      <c r="W35" s="71">
        <v>13000.0</v>
      </c>
      <c r="X35" s="85">
        <v>46267.0</v>
      </c>
      <c r="Y35" s="80">
        <v>2.2606366E7</v>
      </c>
      <c r="Z35" s="40">
        <v>22000.0</v>
      </c>
      <c r="AA35" s="9"/>
      <c r="AB35" s="9"/>
      <c r="AC35" s="9"/>
      <c r="AD35" s="9"/>
      <c r="AE35" s="40">
        <v>22000.0</v>
      </c>
      <c r="AF35" s="9"/>
      <c r="AG35" s="9"/>
      <c r="AH35" s="9"/>
      <c r="AI35" s="9"/>
    </row>
    <row r="36">
      <c r="A36" s="95">
        <v>1036.0</v>
      </c>
      <c r="B36" s="81">
        <v>2.2607382E7</v>
      </c>
      <c r="C36" s="22"/>
      <c r="D36" s="63" t="s">
        <v>192</v>
      </c>
      <c r="E36" s="71">
        <v>9.867406653E9</v>
      </c>
      <c r="F36" s="63"/>
      <c r="G36" s="63" t="s">
        <v>136</v>
      </c>
      <c r="H36" s="71">
        <v>24000.0</v>
      </c>
      <c r="I36" s="71">
        <v>14000.0</v>
      </c>
      <c r="J36" s="65">
        <f t="shared" si="9"/>
        <v>10000</v>
      </c>
      <c r="K36" s="78"/>
      <c r="L36" s="66"/>
      <c r="M36" s="67" t="s">
        <v>104</v>
      </c>
      <c r="N36" s="67" t="s">
        <v>94</v>
      </c>
      <c r="O36" s="63"/>
      <c r="P36" s="63"/>
      <c r="Q36" s="63"/>
      <c r="R36" s="63" t="s">
        <v>44</v>
      </c>
      <c r="S36" s="63"/>
      <c r="T36" s="69" t="s">
        <v>96</v>
      </c>
      <c r="U36" s="63"/>
      <c r="V36" s="63"/>
      <c r="W36" s="71">
        <v>14000.0</v>
      </c>
      <c r="X36" s="85">
        <v>46279.0</v>
      </c>
      <c r="Y36" s="9"/>
      <c r="Z36" s="40">
        <v>24000.0</v>
      </c>
      <c r="AA36" s="9"/>
      <c r="AB36" s="9"/>
      <c r="AC36" s="9"/>
      <c r="AD36" s="9"/>
      <c r="AE36" s="40">
        <v>24000.0</v>
      </c>
      <c r="AF36" s="9"/>
      <c r="AG36" s="9"/>
      <c r="AH36" s="9"/>
      <c r="AI36" s="9"/>
    </row>
    <row r="37">
      <c r="A37" s="95">
        <v>1037.0</v>
      </c>
      <c r="B37" s="76">
        <v>2.2606016E7</v>
      </c>
      <c r="C37" s="22"/>
      <c r="D37" s="63" t="s">
        <v>193</v>
      </c>
      <c r="E37" s="71">
        <v>9.136340957E9</v>
      </c>
      <c r="F37" s="63" t="s">
        <v>194</v>
      </c>
      <c r="G37" s="63" t="s">
        <v>136</v>
      </c>
      <c r="H37" s="71">
        <v>24000.0</v>
      </c>
      <c r="I37" s="71">
        <v>24000.0</v>
      </c>
      <c r="J37" s="65">
        <f t="shared" si="9"/>
        <v>0</v>
      </c>
      <c r="K37" s="78"/>
      <c r="L37" s="90" t="s">
        <v>195</v>
      </c>
      <c r="M37" s="67" t="s">
        <v>104</v>
      </c>
      <c r="N37" s="67" t="s">
        <v>186</v>
      </c>
      <c r="O37" s="63"/>
      <c r="P37" s="63"/>
      <c r="Q37" s="63"/>
      <c r="R37" s="63" t="s">
        <v>187</v>
      </c>
      <c r="S37" s="63"/>
      <c r="T37" s="69" t="s">
        <v>96</v>
      </c>
      <c r="U37" s="63"/>
      <c r="V37" s="63"/>
      <c r="W37" s="71">
        <v>14000.0</v>
      </c>
      <c r="X37" s="85">
        <v>46267.0</v>
      </c>
      <c r="Y37" s="80" t="s">
        <v>43</v>
      </c>
      <c r="Z37" s="40">
        <v>24000.0</v>
      </c>
      <c r="AA37" s="9"/>
      <c r="AB37" s="9"/>
      <c r="AC37" s="9"/>
      <c r="AD37" s="9"/>
      <c r="AE37" s="40">
        <v>24000.0</v>
      </c>
      <c r="AF37" s="9"/>
      <c r="AG37" s="9"/>
      <c r="AH37" s="9"/>
      <c r="AI37" s="9"/>
    </row>
    <row r="38">
      <c r="A38" s="95">
        <v>1038.0</v>
      </c>
      <c r="B38" s="81">
        <v>2.2606002E7</v>
      </c>
      <c r="C38" s="9"/>
      <c r="D38" s="63" t="s">
        <v>196</v>
      </c>
      <c r="E38" s="71" t="s">
        <v>197</v>
      </c>
      <c r="F38" s="63" t="s">
        <v>198</v>
      </c>
      <c r="G38" s="96" t="s">
        <v>199</v>
      </c>
      <c r="H38" s="71">
        <v>14000.0</v>
      </c>
      <c r="I38" s="71">
        <v>14000.0</v>
      </c>
      <c r="J38" s="65">
        <f t="shared" si="9"/>
        <v>0</v>
      </c>
      <c r="K38" s="78"/>
      <c r="L38" s="66"/>
      <c r="M38" s="67" t="s">
        <v>104</v>
      </c>
      <c r="N38" s="67" t="s">
        <v>200</v>
      </c>
      <c r="O38" s="63"/>
      <c r="P38" s="63"/>
      <c r="Q38" s="63"/>
      <c r="R38" s="63"/>
      <c r="S38" s="63"/>
      <c r="T38" s="69" t="s">
        <v>96</v>
      </c>
      <c r="U38" s="63"/>
      <c r="V38" s="63"/>
      <c r="W38" s="71">
        <v>10000.0</v>
      </c>
      <c r="X38" s="85">
        <v>46267.0</v>
      </c>
      <c r="Y38" s="104" t="s">
        <v>43</v>
      </c>
      <c r="Z38" s="40">
        <v>14000.0</v>
      </c>
      <c r="AA38" s="9"/>
      <c r="AB38" s="9"/>
      <c r="AC38" s="9"/>
      <c r="AD38" s="9"/>
      <c r="AE38" s="40">
        <v>14000.0</v>
      </c>
      <c r="AF38" s="9"/>
      <c r="AG38" s="9"/>
      <c r="AH38" s="9"/>
      <c r="AI38" s="9"/>
    </row>
    <row r="39">
      <c r="A39" s="95">
        <v>1039.0</v>
      </c>
      <c r="B39" s="22"/>
      <c r="C39" s="22"/>
      <c r="D39" s="63" t="s">
        <v>201</v>
      </c>
      <c r="E39" s="102">
        <v>9.136180457E9</v>
      </c>
      <c r="F39" s="63"/>
      <c r="G39" s="63" t="s">
        <v>202</v>
      </c>
      <c r="H39" s="71">
        <v>34000.0</v>
      </c>
      <c r="I39" s="71">
        <v>15000.0</v>
      </c>
      <c r="J39" s="65">
        <f t="shared" si="9"/>
        <v>19000</v>
      </c>
      <c r="K39" s="78"/>
      <c r="L39" s="66"/>
      <c r="M39" s="67" t="s">
        <v>104</v>
      </c>
      <c r="N39" s="67" t="s">
        <v>203</v>
      </c>
      <c r="O39" s="63"/>
      <c r="P39" s="63"/>
      <c r="Q39" s="63"/>
      <c r="R39" s="63" t="s">
        <v>204</v>
      </c>
      <c r="S39" s="63"/>
      <c r="T39" s="69" t="s">
        <v>96</v>
      </c>
      <c r="U39" s="63"/>
      <c r="V39" s="63"/>
      <c r="W39" s="71">
        <v>19000.0</v>
      </c>
      <c r="X39" s="85">
        <v>46279.0</v>
      </c>
      <c r="Y39" s="9"/>
      <c r="Z39" s="40">
        <v>34000.0</v>
      </c>
      <c r="AA39" s="9"/>
      <c r="AB39" s="9"/>
      <c r="AC39" s="9"/>
      <c r="AD39" s="9"/>
      <c r="AE39" s="34" t="s">
        <v>167</v>
      </c>
      <c r="AF39" s="9"/>
      <c r="AG39" s="9"/>
      <c r="AH39" s="9"/>
      <c r="AI39" s="9"/>
    </row>
    <row r="40">
      <c r="A40" s="95">
        <v>1040.0</v>
      </c>
      <c r="B40" s="22"/>
      <c r="C40" s="22"/>
      <c r="D40" s="22" t="s">
        <v>205</v>
      </c>
      <c r="E40" s="102">
        <v>8.898298392E9</v>
      </c>
      <c r="F40" s="22"/>
      <c r="G40" s="22" t="s">
        <v>68</v>
      </c>
      <c r="H40" s="40">
        <v>43000.0</v>
      </c>
      <c r="I40" s="40">
        <v>25300.0</v>
      </c>
      <c r="J40" s="64">
        <v>0.0</v>
      </c>
      <c r="K40" s="65">
        <f>H40-I40</f>
        <v>17700</v>
      </c>
      <c r="L40" s="66"/>
      <c r="M40" s="67" t="s">
        <v>206</v>
      </c>
      <c r="N40" s="67" t="s">
        <v>186</v>
      </c>
      <c r="O40" s="22"/>
      <c r="P40" s="22"/>
      <c r="Q40" s="22"/>
      <c r="R40" s="22"/>
      <c r="S40" s="22"/>
      <c r="T40" s="69" t="s">
        <v>96</v>
      </c>
      <c r="U40" s="22"/>
      <c r="V40" s="22"/>
      <c r="W40" s="40">
        <v>25300.0</v>
      </c>
      <c r="X40" s="22"/>
      <c r="Y40" s="9"/>
      <c r="Z40" s="40">
        <v>43000.0</v>
      </c>
      <c r="AA40" s="9"/>
      <c r="AB40" s="9"/>
      <c r="AC40" s="9"/>
      <c r="AD40" s="9"/>
      <c r="AE40" s="34" t="s">
        <v>167</v>
      </c>
      <c r="AF40" s="9"/>
      <c r="AG40" s="9"/>
      <c r="AH40" s="9"/>
      <c r="AI40" s="9"/>
    </row>
    <row r="41">
      <c r="A41" s="95">
        <v>1041.0</v>
      </c>
      <c r="B41" s="81">
        <v>2.2600305E7</v>
      </c>
      <c r="C41" s="22"/>
      <c r="D41" s="63" t="s">
        <v>207</v>
      </c>
      <c r="E41" s="102">
        <v>8.976163992E9</v>
      </c>
      <c r="F41" s="22"/>
      <c r="G41" s="22" t="s">
        <v>37</v>
      </c>
      <c r="H41" s="40">
        <v>22000.0</v>
      </c>
      <c r="I41" s="40">
        <v>13000.0</v>
      </c>
      <c r="J41" s="65">
        <f>H41-I41</f>
        <v>9000</v>
      </c>
      <c r="K41" s="64" t="s">
        <v>44</v>
      </c>
      <c r="L41" s="66"/>
      <c r="M41" s="67" t="s">
        <v>104</v>
      </c>
      <c r="N41" s="67" t="s">
        <v>186</v>
      </c>
      <c r="O41" s="22"/>
      <c r="P41" s="22"/>
      <c r="Q41" s="22"/>
      <c r="R41" s="22"/>
      <c r="S41" s="22"/>
      <c r="T41" s="69" t="s">
        <v>96</v>
      </c>
      <c r="U41" s="22"/>
      <c r="V41" s="22"/>
      <c r="W41" s="71">
        <v>13000.0</v>
      </c>
      <c r="X41" s="22"/>
      <c r="Y41" s="9"/>
      <c r="Z41" s="40">
        <v>22000.0</v>
      </c>
      <c r="AA41" s="9"/>
      <c r="AB41" s="9"/>
      <c r="AC41" s="9"/>
      <c r="AD41" s="9"/>
      <c r="AE41" s="40">
        <v>22000.0</v>
      </c>
      <c r="AF41" s="9"/>
      <c r="AG41" s="9"/>
      <c r="AH41" s="9"/>
      <c r="AI41" s="9"/>
    </row>
  </sheetData>
  <dataValidations>
    <dataValidation type="list" allowBlank="1" showErrorMessage="1" sqref="N2:N41">
      <formula1>"NAZIA,ZARA,NIDA,Waseem Ahmad,Samir Haider"</formula1>
    </dataValidation>
    <dataValidation type="list" allowBlank="1" showErrorMessage="1" sqref="M2:M41">
      <formula1>"DY Patil,Amity,Manglytan,GLA"</formula1>
    </dataValidation>
  </dataValidations>
  <hyperlinks>
    <hyperlink r:id="rId1" ref="G5"/>
    <hyperlink r:id="rId2" ref="G7"/>
    <hyperlink r:id="rId3" ref="G12"/>
    <hyperlink r:id="rId4" ref="D24"/>
    <hyperlink r:id="rId5" ref="G38"/>
  </hyperlinks>
  <drawing r:id="rId6"/>
  <tableParts count="2">
    <tablePart r:id="rId9"/>
    <tablePart r:id="rId10"/>
  </tableParts>
</worksheet>
</file>